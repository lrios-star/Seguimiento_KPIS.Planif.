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OneDrive\Escritorio\Luciano\proyecto_mermas\"/>
    </mc:Choice>
  </mc:AlternateContent>
  <xr:revisionPtr revIDLastSave="0" documentId="13_ncr:1_{403C2758-F2C8-47C2-9E7D-C3ACC8BD83C7}" xr6:coauthVersionLast="47" xr6:coauthVersionMax="47" xr10:uidLastSave="{00000000-0000-0000-0000-000000000000}"/>
  <bookViews>
    <workbookView xWindow="28680" yWindow="-120" windowWidth="29040" windowHeight="15720" activeTab="3" xr2:uid="{C80246F2-AE3D-43DA-8120-B499A1ED83C7}"/>
  </bookViews>
  <sheets>
    <sheet name="10-08" sheetId="4" r:id="rId1"/>
    <sheet name="17-08 " sheetId="2" r:id="rId2"/>
    <sheet name="24-08" sheetId="3" r:id="rId3"/>
    <sheet name="31-08" sheetId="7" r:id="rId4"/>
    <sheet name="DETALLE MERMAS 31-08" sheetId="6" r:id="rId5"/>
  </sheets>
  <externalReferences>
    <externalReference r:id="rId6"/>
  </externalReferences>
  <definedNames>
    <definedName name="_xlnm._FilterDatabase" localSheetId="0" hidden="1">'10-08'!$E$1:$M$1</definedName>
    <definedName name="_xlnm._FilterDatabase" localSheetId="1" hidden="1">'17-08 '!$D$1:$L$1</definedName>
    <definedName name="_xlnm._FilterDatabase" localSheetId="2" hidden="1">'24-08'!$E$1:$M$1</definedName>
    <definedName name="_xlnm._FilterDatabase" localSheetId="3" hidden="1">'31-08'!$E$1:$N$1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4" i="7" l="1"/>
  <c r="B5" i="7"/>
  <c r="B6" i="7"/>
  <c r="B7" i="7"/>
  <c r="B8" i="7"/>
  <c r="B10" i="7"/>
  <c r="B11" i="7" s="1"/>
  <c r="M11" i="7"/>
  <c r="M12" i="7"/>
  <c r="M13" i="7"/>
  <c r="M14" i="7"/>
  <c r="M15" i="7"/>
  <c r="M16" i="7"/>
  <c r="M17" i="7"/>
  <c r="M18" i="7"/>
  <c r="G2" i="6"/>
  <c r="E2" i="6" s="1"/>
  <c r="E3" i="6"/>
  <c r="E4" i="6"/>
  <c r="E5" i="6"/>
  <c r="E6" i="6"/>
  <c r="G8" i="6"/>
  <c r="E8" i="6" s="1"/>
  <c r="E9" i="6"/>
  <c r="E10" i="6"/>
  <c r="E11" i="6"/>
  <c r="G14" i="6"/>
  <c r="E14" i="6" s="1"/>
  <c r="E15" i="6"/>
  <c r="E16" i="6"/>
  <c r="E17" i="6"/>
  <c r="E18" i="6"/>
  <c r="E19" i="6"/>
  <c r="G21" i="6"/>
  <c r="G25" i="6"/>
  <c r="E25" i="6" s="1"/>
  <c r="E26" i="6"/>
  <c r="G28" i="6"/>
  <c r="E28" i="6" s="1"/>
  <c r="E29" i="6"/>
  <c r="E30" i="6"/>
  <c r="E31" i="6"/>
  <c r="G33" i="6"/>
  <c r="E34" i="6"/>
  <c r="E36" i="6"/>
  <c r="G39" i="6"/>
  <c r="B5" i="4"/>
  <c r="B6" i="4"/>
  <c r="B7" i="4"/>
  <c r="B8" i="4"/>
  <c r="B10" i="4"/>
  <c r="B11" i="4" s="1"/>
  <c r="M10" i="4"/>
  <c r="M11" i="4"/>
  <c r="M12" i="4"/>
  <c r="M13" i="4"/>
  <c r="B14" i="4"/>
  <c r="M14" i="4"/>
  <c r="M15" i="4"/>
  <c r="B5" i="3"/>
  <c r="B6" i="3"/>
  <c r="B7" i="3"/>
  <c r="B8" i="3"/>
  <c r="B10" i="3"/>
  <c r="B11" i="3" s="1"/>
  <c r="B5" i="2"/>
  <c r="B6" i="2"/>
  <c r="B7" i="2"/>
  <c r="B8" i="2"/>
  <c r="B10" i="2"/>
  <c r="B11" i="2" s="1"/>
  <c r="M2" i="7" l="1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61" i="7"/>
  <c r="M63" i="7"/>
  <c r="M65" i="7"/>
  <c r="M6" i="7"/>
  <c r="M10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2" i="7"/>
  <c r="M64" i="7"/>
  <c r="M7" i="7"/>
  <c r="M3" i="7"/>
  <c r="M4" i="7"/>
  <c r="M5" i="7"/>
  <c r="M8" i="7"/>
  <c r="B9" i="7"/>
  <c r="B15" i="7" s="1"/>
  <c r="M9" i="7"/>
  <c r="E21" i="6"/>
  <c r="E22" i="6"/>
  <c r="E23" i="6"/>
  <c r="E35" i="6"/>
  <c r="E37" i="6"/>
  <c r="E33" i="6"/>
  <c r="E39" i="6"/>
  <c r="E40" i="6"/>
  <c r="M2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40" i="4"/>
  <c r="M42" i="4"/>
  <c r="M44" i="4"/>
  <c r="M46" i="4"/>
  <c r="M48" i="4"/>
  <c r="M50" i="4"/>
  <c r="M52" i="4"/>
  <c r="M53" i="4"/>
  <c r="M55" i="4"/>
  <c r="M56" i="4"/>
  <c r="M58" i="4"/>
  <c r="M60" i="4"/>
  <c r="M61" i="4"/>
  <c r="M64" i="4"/>
  <c r="M66" i="4"/>
  <c r="M68" i="4"/>
  <c r="M71" i="4"/>
  <c r="M73" i="4"/>
  <c r="M75" i="4"/>
  <c r="M39" i="4"/>
  <c r="M41" i="4"/>
  <c r="M43" i="4"/>
  <c r="M45" i="4"/>
  <c r="M47" i="4"/>
  <c r="M49" i="4"/>
  <c r="M51" i="4"/>
  <c r="M54" i="4"/>
  <c r="M57" i="4"/>
  <c r="M59" i="4"/>
  <c r="M63" i="4"/>
  <c r="M67" i="4"/>
  <c r="M70" i="4"/>
  <c r="M74" i="4"/>
  <c r="M76" i="4"/>
  <c r="M7" i="4"/>
  <c r="M62" i="4"/>
  <c r="M65" i="4"/>
  <c r="M69" i="4"/>
  <c r="M72" i="4"/>
  <c r="M6" i="4"/>
  <c r="M3" i="4"/>
  <c r="M4" i="4"/>
  <c r="M5" i="4"/>
  <c r="M8" i="4"/>
  <c r="B9" i="4"/>
  <c r="B15" i="4" s="1"/>
  <c r="M9" i="4"/>
  <c r="M2" i="3"/>
  <c r="M3" i="3"/>
  <c r="M4" i="3"/>
  <c r="M5" i="3"/>
  <c r="M16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9" i="3"/>
  <c r="M50" i="3"/>
  <c r="M51" i="3"/>
  <c r="M52" i="3"/>
  <c r="M53" i="3"/>
  <c r="M54" i="3"/>
  <c r="M55" i="3"/>
  <c r="M56" i="3"/>
  <c r="M57" i="3"/>
  <c r="M58" i="3"/>
  <c r="M59" i="3"/>
  <c r="M61" i="3"/>
  <c r="M63" i="3"/>
  <c r="M65" i="3"/>
  <c r="M67" i="3"/>
  <c r="M69" i="3"/>
  <c r="M71" i="3"/>
  <c r="M73" i="3"/>
  <c r="M75" i="3"/>
  <c r="M77" i="3"/>
  <c r="M78" i="3"/>
  <c r="M79" i="3"/>
  <c r="M80" i="3"/>
  <c r="M81" i="3"/>
  <c r="M83" i="3"/>
  <c r="M85" i="3"/>
  <c r="M87" i="3"/>
  <c r="M89" i="3"/>
  <c r="M91" i="3"/>
  <c r="M96" i="3"/>
  <c r="M99" i="3"/>
  <c r="M102" i="3"/>
  <c r="M104" i="3"/>
  <c r="M48" i="3"/>
  <c r="M60" i="3"/>
  <c r="M62" i="3"/>
  <c r="M64" i="3"/>
  <c r="M66" i="3"/>
  <c r="M68" i="3"/>
  <c r="M70" i="3"/>
  <c r="M72" i="3"/>
  <c r="M74" i="3"/>
  <c r="M76" i="3"/>
  <c r="M82" i="3"/>
  <c r="M84" i="3"/>
  <c r="M88" i="3"/>
  <c r="M90" i="3"/>
  <c r="M92" i="3"/>
  <c r="M93" i="3"/>
  <c r="M94" i="3"/>
  <c r="M95" i="3"/>
  <c r="M97" i="3"/>
  <c r="M98" i="3"/>
  <c r="M100" i="3"/>
  <c r="M103" i="3"/>
  <c r="M105" i="3"/>
  <c r="M7" i="3"/>
  <c r="M9" i="3"/>
  <c r="M86" i="3"/>
  <c r="B9" i="3"/>
  <c r="B15" i="3" s="1"/>
  <c r="M10" i="3"/>
  <c r="M11" i="3"/>
  <c r="M13" i="3"/>
  <c r="M15" i="3"/>
  <c r="M18" i="3"/>
  <c r="M101" i="3"/>
  <c r="M12" i="3"/>
  <c r="B14" i="3"/>
  <c r="M8" i="3"/>
  <c r="M14" i="3"/>
  <c r="M6" i="3"/>
  <c r="M17" i="3"/>
  <c r="L2" i="2"/>
  <c r="L4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8" i="2"/>
  <c r="B9" i="2"/>
  <c r="B15" i="2" s="1"/>
  <c r="L10" i="2"/>
  <c r="L9" i="2"/>
  <c r="L11" i="2"/>
  <c r="L12" i="2"/>
  <c r="L13" i="2"/>
  <c r="B14" i="2"/>
  <c r="L14" i="2"/>
  <c r="L15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6" i="2"/>
  <c r="L87" i="2"/>
  <c r="L88" i="2"/>
  <c r="L89" i="2"/>
  <c r="L90" i="2"/>
  <c r="L91" i="2"/>
  <c r="L3" i="2"/>
  <c r="L5" i="2"/>
  <c r="L7" i="2"/>
</calcChain>
</file>

<file path=xl/sharedStrings.xml><?xml version="1.0" encoding="utf-8"?>
<sst xmlns="http://schemas.openxmlformats.org/spreadsheetml/2006/main" count="837" uniqueCount="312">
  <si>
    <t>ALISERVICE</t>
  </si>
  <si>
    <t>VPP140MIC280CLBB</t>
  </si>
  <si>
    <t>SUPER</t>
  </si>
  <si>
    <t>VTFBSTR140CLPS5CG</t>
  </si>
  <si>
    <t>VSK190NATICG</t>
  </si>
  <si>
    <t>COMERCIAL PROGRESO</t>
  </si>
  <si>
    <t>VPP140MIC200CLBB</t>
  </si>
  <si>
    <t>LA FAVORITA</t>
  </si>
  <si>
    <t>TRIPA PLASTICA - PCS - 118MM WHITE - CORRUGADO</t>
  </si>
  <si>
    <t>PINCHEIRA</t>
  </si>
  <si>
    <t>GENERICO</t>
  </si>
  <si>
    <t>VPP1MBTPHN30U300CLBB</t>
  </si>
  <si>
    <t>CIAL</t>
  </si>
  <si>
    <t>VCK175RDCLCG</t>
  </si>
  <si>
    <t>TEMUCO</t>
  </si>
  <si>
    <t>VC5BP50U250CL400SCTF</t>
  </si>
  <si>
    <t>MRETERRARPX4880/600CC</t>
  </si>
  <si>
    <t>VC155P5220CLPSCG</t>
  </si>
  <si>
    <t>VC155P5250CLPSCG</t>
  </si>
  <si>
    <t>VSK190NACLCG</t>
  </si>
  <si>
    <t>COEXFLEX</t>
  </si>
  <si>
    <t>FTS-VPP1MB-30U300CLPSBB</t>
  </si>
  <si>
    <t>ESCUDERO</t>
  </si>
  <si>
    <t>VPP3SHR37AF370CLBB</t>
  </si>
  <si>
    <t>SOPRAVAL</t>
  </si>
  <si>
    <t>FSLIP90U447CLBB</t>
  </si>
  <si>
    <t>LOS MISIONEROS</t>
  </si>
  <si>
    <t>FTAB415CL60UAIOTPAFLBB</t>
  </si>
  <si>
    <t>LOMAS COLORADAS</t>
  </si>
  <si>
    <t>FTAB422CL175UVDPFDRGCBB</t>
  </si>
  <si>
    <t>MAFRISUR</t>
  </si>
  <si>
    <t>MAFRISUR - LOGO MAFRISUR 1 COLOR - 250X800MM CLEAR - SELLO CURVO</t>
  </si>
  <si>
    <t>VC155P5200CLPSCG</t>
  </si>
  <si>
    <t>LA CUAJADA</t>
  </si>
  <si>
    <t>VTFBSTR140CL500CC</t>
  </si>
  <si>
    <t>LOGO MAFRISUR 1 COLOR 200X375MM SELLO CURVO SKU 100138</t>
  </si>
  <si>
    <t>LOS COLONOS DEL NORTE</t>
  </si>
  <si>
    <t>VHRIP85U205CL300SR</t>
  </si>
  <si>
    <t>VC5IP50U200CL350SCTF</t>
  </si>
  <si>
    <t>VTFBSTR105CRMLPSCG</t>
  </si>
  <si>
    <t>MAFRISUR - LOGO MAFRISUR 1 COLOR - 250X350MM CLEAR - SELLO CURVO</t>
  </si>
  <si>
    <t>VPP1MBTPHN30U240CLBB</t>
  </si>
  <si>
    <t>VTFBSTR70CLCG</t>
  </si>
  <si>
    <t>LOGO MAFRISUR 1 COLOR 200X375MM SELLO CURVO SKU 100200</t>
  </si>
  <si>
    <t>VC5IP50U200CL400SCTF</t>
  </si>
  <si>
    <t>LA REYNA</t>
  </si>
  <si>
    <t>ARROLLADO HUASO CHILENO LA REYNA 200X350MM SC</t>
  </si>
  <si>
    <t>MAFRISUR - LOGO MAFRISUR 1 COLOR - 250X475MM CLEAR - SELLO CURVO</t>
  </si>
  <si>
    <t>LOGO MAFRISUR 1 COLOR 400X550MM SELLO CURVO SKU 100211</t>
  </si>
  <si>
    <t>LOGO FRANJA MOLLENDO 300X550MM SELLO CURVO - TEMUCO</t>
  </si>
  <si>
    <t>CADIZ Y ZUÑIGA</t>
  </si>
  <si>
    <t>ARROLLADO RAYEN CORTE CLIP PL 180X500MM</t>
  </si>
  <si>
    <t>PRIETA DE CERDO ESCUDERO 180X380 SELLO RECTO</t>
  </si>
  <si>
    <t>LO INFANTE</t>
  </si>
  <si>
    <t>AVC1-3375CL550SCTF</t>
  </si>
  <si>
    <t>PATITA RELLENA LA REYNA AIOP 157X500MM CLEAR CORTE CLIP</t>
  </si>
  <si>
    <t>TEMUCO - MOLLENDO - LOGO MOLLENDO 4C FRANJA - 200X350MM CLEAR - SELLO CURVO</t>
  </si>
  <si>
    <t>AVC1-345U375YE600SCTF</t>
  </si>
  <si>
    <t>LOGO MAFRISUR 350X550MM SELLO CURVO SKU 100208</t>
  </si>
  <si>
    <t>VEGAFRESH/CIAL</t>
  </si>
  <si>
    <t>VC5IP50U400CL550SCTF</t>
  </si>
  <si>
    <t>PROLESUR</t>
  </si>
  <si>
    <t>BOLSA TERMOCONTRAIBLE - VC5 - 400X700MM CLEAR - SELLO RECTO</t>
  </si>
  <si>
    <t>LOGO FRANJA MOLLENDO 400X600MM SELLO CURVO - TEMUCO</t>
  </si>
  <si>
    <t>OMEÑACA</t>
  </si>
  <si>
    <t>OMEÑACA - JAMON SANDWICH - CORRUGADO</t>
  </si>
  <si>
    <t>JAMON SANDWICH LA REYNA 180X500MM CORTE CLIP</t>
  </si>
  <si>
    <t>BOLSA HUESO PERNIL COCIDO ESCUDERO 200X380MM CLEAR SELLO RECTO</t>
  </si>
  <si>
    <t>LOGO MAFRISUR 1 COLOR 350X800MM SELLO CURVO SKU 100209</t>
  </si>
  <si>
    <t>MAFRISUR - MOLLENDO - LOGO MOLLENDO 4C FRANJA - 300X450MM CLEAR - SELLO CURVO</t>
  </si>
  <si>
    <t>VC5IP50U250CL400SCTF</t>
  </si>
  <si>
    <t>IKA</t>
  </si>
  <si>
    <t>VCX90U175CLAIOPS1400CC</t>
  </si>
  <si>
    <t>LOGO MAFRISUR 1 COLOR 300X550MM SELLO CURVO SKU 100207</t>
  </si>
  <si>
    <t>LOGO FRANJA MOLLENDO 230X750MM SELLO CURVO - TEMUCO</t>
  </si>
  <si>
    <t>VC5IP50U300CL450SCTF</t>
  </si>
  <si>
    <t>BOLSA TERMOCONTRAIBLE HUESO - VHR - 250X350MM CLEAR - SELLO RECTO</t>
  </si>
  <si>
    <t>LOGO FRANJA MOLLENDO 250X500MM SELLO CURVO - TEMUCO</t>
  </si>
  <si>
    <t>LOGO FRANJA MOLLENDO 250X350MM SELLO CURVO - MAFRISUR</t>
  </si>
  <si>
    <t>PF</t>
  </si>
  <si>
    <t>VC1IPS42U200CL475SCTP</t>
  </si>
  <si>
    <t>LOGO FRANJA MOLLENDO 4C 250X400MM SELLO CURVO - TEMUCO</t>
  </si>
  <si>
    <t>CIAL - SAN JORGE - FIAMBRE JAMON SANDWICH SIN GLUTEN</t>
  </si>
  <si>
    <t>ORBITA</t>
  </si>
  <si>
    <t>ORBITA ALIMENTOS - DON HERNAN - COSTILLAR AHUMADO DON HERNAN</t>
  </si>
  <si>
    <t>LOGO FRANJA MOLLENDO 230X450MM SELLO CURVO - TEMUCO</t>
  </si>
  <si>
    <t>LOGO FRANJA MOLLENDO 4C 250X500MM SELLO CURVO - TEMUCO</t>
  </si>
  <si>
    <t>ARROLLADO HUASO INDIVIDUAL ESCUDERO 160X200MM CORTE CUÑO</t>
  </si>
  <si>
    <t>SALCHICHON CERVEZA WINTER 1.6K - CORRUGADO</t>
  </si>
  <si>
    <t>LOGO MAFRISUR 1 COLOR 200X650 CLEAR SELLO CURVO SKU 100202</t>
  </si>
  <si>
    <t>SANDWICH SAN JORGE</t>
  </si>
  <si>
    <t>MAFRISUR - LOGO MAFRISUR 1 COLOR - 450X800MM CLEAR - SELLO CURVO VC5 SKU 100212</t>
  </si>
  <si>
    <t>vs 10-08</t>
  </si>
  <si>
    <t>MORTADELA FINA DE POLLO SUPER POLLO</t>
  </si>
  <si>
    <t>JAMON SANDWICH LA CRIANZA</t>
  </si>
  <si>
    <t>% OPS CON MERMA &gt;=5%</t>
  </si>
  <si>
    <t>OPS CON MERMA &gt;=5%</t>
  </si>
  <si>
    <t>PATE TERNERA SAN JORGE</t>
  </si>
  <si>
    <t>% MERMA PERIODO</t>
  </si>
  <si>
    <t>MT MERMA</t>
  </si>
  <si>
    <t>MINI SALCHICHON CERVEZA WINTER NUEVO SKU</t>
  </si>
  <si>
    <t>MT CONCRETADOS</t>
  </si>
  <si>
    <t>PASTA DE JAMON SAN JORGE</t>
  </si>
  <si>
    <t>MT PLANIF</t>
  </si>
  <si>
    <t>JAMONADA CENTENARIO</t>
  </si>
  <si>
    <t>OPS CERRADAS</t>
  </si>
  <si>
    <t>JAMON SANDWICH LC</t>
  </si>
  <si>
    <t>FIN</t>
  </si>
  <si>
    <t>PATE TERNERA SAN JORGE NUEVO SKU</t>
  </si>
  <si>
    <t>INICIO</t>
  </si>
  <si>
    <t>% MERMA VS PERIODO</t>
  </si>
  <si>
    <t>% MERMA</t>
  </si>
  <si>
    <t>MERMA MT</t>
  </si>
  <si>
    <t>CANTIDAD CIERRE MT</t>
  </si>
  <si>
    <t>CANTIDAD PLAN MT</t>
  </si>
  <si>
    <t>FECHA DE CIERRE</t>
  </si>
  <si>
    <t>CLIENTE</t>
  </si>
  <si>
    <t>PRODUCTO</t>
  </si>
  <si>
    <t>OP</t>
  </si>
  <si>
    <t>PERIODO</t>
  </si>
  <si>
    <t>TRIPA PLASTICA - PCS - 118MM CLEAR - CORRUGADO</t>
  </si>
  <si>
    <t>VPP140MIC170CLBB</t>
  </si>
  <si>
    <t>VALLE CENTRAL</t>
  </si>
  <si>
    <t>AVC1-2180CL300SCTF</t>
  </si>
  <si>
    <t>AIOP640U175CLCG</t>
  </si>
  <si>
    <t>VTFBSTR90CLPSCG</t>
  </si>
  <si>
    <t>COOKCHILL</t>
  </si>
  <si>
    <t>VPP3SHR37AF420CLBB</t>
  </si>
  <si>
    <t>VC155P5280CLPSCG</t>
  </si>
  <si>
    <t>VC155P4300CLPSCG</t>
  </si>
  <si>
    <t>JD000 JAMON PIERNA ACARAMELADO PF 280X420MM TAPE</t>
  </si>
  <si>
    <t>AVC1-2300CL350SCTF</t>
  </si>
  <si>
    <t>VTFBSTR90CRMLPSCG</t>
  </si>
  <si>
    <t>GSV</t>
  </si>
  <si>
    <t>VHRIP85U205CL500SR</t>
  </si>
  <si>
    <t>DON RODRIGO</t>
  </si>
  <si>
    <t>SCHWENCKE</t>
  </si>
  <si>
    <t>VHRIP85U250CL500SR</t>
  </si>
  <si>
    <t>VHRIP85U250CL400SR</t>
  </si>
  <si>
    <t>DELIPORK</t>
  </si>
  <si>
    <t>VTFBSTR140CL550CC</t>
  </si>
  <si>
    <t>VTFBSTR120CRMLPSCG</t>
  </si>
  <si>
    <t>FORTUNATA</t>
  </si>
  <si>
    <t>HFCC065200CL300SR</t>
  </si>
  <si>
    <t>BOLSA TERMOCONTRAIBLE - VC1 - 230X350MM CLEAR SELLO CURVO</t>
  </si>
  <si>
    <t>CARNES MAGALLANES</t>
  </si>
  <si>
    <t>VHRIP85U280CL600SR</t>
  </si>
  <si>
    <t>JEREZ PAVEZ</t>
  </si>
  <si>
    <t>BTC-VHR-280CL700SR</t>
  </si>
  <si>
    <t>SVC5280CL350SCTF</t>
  </si>
  <si>
    <t>CARNES DE SOLIS</t>
  </si>
  <si>
    <t>VC5IP50U200CL300SCTF</t>
  </si>
  <si>
    <t>MANGA PASTEURIZABLE - P5 - 250X350MM CLEAR - SELLO CURVO</t>
  </si>
  <si>
    <t>AVC1-2250CL350SCTF</t>
  </si>
  <si>
    <t>SOCIEDAD COMERCIAL RIVAS HERMANOS</t>
  </si>
  <si>
    <t>VC5IP50U350CL550SCTF</t>
  </si>
  <si>
    <t>VC5IP50U375CL600SCTF</t>
  </si>
  <si>
    <t>ACONFOODS</t>
  </si>
  <si>
    <t>VC5IP50U230CL450SCTF</t>
  </si>
  <si>
    <t>VC5IP50U400CL600SCTF</t>
  </si>
  <si>
    <t>LOGO MAFRISUR IP 1 COLOR 300X450MM SELLO CURVO SKU 100206</t>
  </si>
  <si>
    <t>BSH200C300DRCG</t>
  </si>
  <si>
    <t>BOLSA TERMOCONTRAIBLE - VC1 - 160X200MM CORTE CUÑO</t>
  </si>
  <si>
    <t>MEAT MASTER</t>
  </si>
  <si>
    <t>TPL-VCX-130CL950PSCC</t>
  </si>
  <si>
    <t>GA000 ARROLLADO HUASO PF CON AJI 200X510 SC TP</t>
  </si>
  <si>
    <t>MILLAR</t>
  </si>
  <si>
    <t>VC345MIC250CL475SR</t>
  </si>
  <si>
    <t>VC345MIC250CL400SR</t>
  </si>
  <si>
    <t>MAFRISUR - LOGO MAFRISUR 1 COLOR - 250X350MM CLEAR - SELLO CURVO VC5 | sku 100203</t>
  </si>
  <si>
    <t>BMC</t>
  </si>
  <si>
    <t>MOLIDA DE VACUNO MONTINA 250G</t>
  </si>
  <si>
    <t>PATE DE AVE SAN JORGE</t>
  </si>
  <si>
    <t>JAMON PLANCHADO SUPER POLLO CORRUGADO</t>
  </si>
  <si>
    <t>MOLIDA TRADICIONAL KING 250G. CORRUGADO</t>
  </si>
  <si>
    <t>ARROLLADO MALAYA ESCUDERO 200X350MM CORTE CUÑO</t>
  </si>
  <si>
    <t>COCE</t>
  </si>
  <si>
    <t>MORTADELA JAMONADA TRADICIONAL 2,3KG MONTINA ARTESANA (COCE) - BOBINA</t>
  </si>
  <si>
    <t>vs 17-08</t>
  </si>
  <si>
    <t>VTFBFLXR60CLCG</t>
  </si>
  <si>
    <t>SAN PABLO</t>
  </si>
  <si>
    <t>PATE SABOR TERNERA 125G FUNDO RIO ALEGRE- SAN PABLO CORRUGADO</t>
  </si>
  <si>
    <t>LISA SAN JORGE</t>
  </si>
  <si>
    <t>VTFBSTR120CLPSCG</t>
  </si>
  <si>
    <t>VTFBSTR105CLCG</t>
  </si>
  <si>
    <t>CARNES MONTES</t>
  </si>
  <si>
    <t>AVC1-2280CL450SRTF</t>
  </si>
  <si>
    <t>ALICANTO</t>
  </si>
  <si>
    <t>FTAB360CL63UAIOTPAFLBB</t>
  </si>
  <si>
    <t>PPSPLP6180CLCG</t>
  </si>
  <si>
    <t>FTMB70U555CLCHFBB</t>
  </si>
  <si>
    <t>MANGA FIBROSA COATED SMOKE CAL 75 CORRUGADA</t>
  </si>
  <si>
    <t>ARTEALIMENTOS</t>
  </si>
  <si>
    <t>HFCC100300CL500SR</t>
  </si>
  <si>
    <t>DON AMANCIO</t>
  </si>
  <si>
    <t>BOLSA TERMOCONTRAIBLE - VC1 - 250X430MM CLEAR - SELLO CURVO</t>
  </si>
  <si>
    <t>VCK160RDCLCG</t>
  </si>
  <si>
    <t>SALVIA</t>
  </si>
  <si>
    <t>VC1IPS42U250CL250SR</t>
  </si>
  <si>
    <t>COMERCIAL PAILLAHUE</t>
  </si>
  <si>
    <t>BOLSA TERMOCONTRAIBLE - VC5 - 200X240MM CLEAR - SELLO CURVO</t>
  </si>
  <si>
    <t>BOLSA TERMOCONTRAIBLE - VC1 - 250X470MM CLEAR - SELLO CURVO</t>
  </si>
  <si>
    <t>VC1IPS42U250CL450SR</t>
  </si>
  <si>
    <t>LOGO CARNES MONTES 1 COLOR 250X300MM</t>
  </si>
  <si>
    <t>SUA WURT</t>
  </si>
  <si>
    <t>BOLSA TERMOCONTRAIBLE - VC1 - 300X400MM CLEAR - SELLO CURVO</t>
  </si>
  <si>
    <t>ORBITA ALIMENTOS</t>
  </si>
  <si>
    <t>ORBITA ALIMENTOS - DON HERNAN - BUTIFARRA DON HERNAN - 180X350MM CLEAR - SELLO CURVO</t>
  </si>
  <si>
    <t>LOGO CARNES MONTES 1 COLOR 200X350MM</t>
  </si>
  <si>
    <t>LOGO CARNES MONTES 1 COLOR - 200X250MM CLEAR - SELLO CURVO</t>
  </si>
  <si>
    <t>VC1IPS42U250CL350SR</t>
  </si>
  <si>
    <t>VPP1MBTPHN30U280CLBB</t>
  </si>
  <si>
    <t>QUILACOYA</t>
  </si>
  <si>
    <t>VC1IPS42U200CL325SCTF</t>
  </si>
  <si>
    <t>COMERCIAL CASTRO</t>
  </si>
  <si>
    <t>CHORIZO PARRILLERO COMERCIAL CASTRO 200x340MM SELLO CURVO</t>
  </si>
  <si>
    <t>JAMON ACARAMELADO LA REYNA 2.4K 250X350MM SELLO CURVO</t>
  </si>
  <si>
    <t>VPP1MBTPHN30U250CLBB</t>
  </si>
  <si>
    <t>MULTICAPA 175MM . IMPRESA ROJO-CORRUGADO</t>
  </si>
  <si>
    <t>VENEZIA</t>
  </si>
  <si>
    <t>BOLSA TERMOCONTRAIBLE - VC1 - 230X340MM CLEAR - SELLO RECTO</t>
  </si>
  <si>
    <t>LONGANIZA CHILLANEJA COMERCIAL CASTRO</t>
  </si>
  <si>
    <t>FAENADORA DE CARNES VICTORIA</t>
  </si>
  <si>
    <t>VC5IP50U250CL450SCTF</t>
  </si>
  <si>
    <t>LOGO MAFRISUR 1 COLOR 200X500MM SELLO CURVO | SKU 100201</t>
  </si>
  <si>
    <t>LONGANIZA TRADICIONAL COMERCIAL CASTRO 200X400MM SELLO CURVO</t>
  </si>
  <si>
    <t>COMERCIAL DE CAMPO</t>
  </si>
  <si>
    <t>BTC-VC1-125CL230SRCU</t>
  </si>
  <si>
    <t>ORBITA ALIMENTOS - DON HERNAN - LONGANIZA TRADICIONAL - 180X350MM CLEAR - SELLO CURVO</t>
  </si>
  <si>
    <t>VTFBSTR165CL550CC</t>
  </si>
  <si>
    <t>MORTADELA JAMONADA DE POLLO SUPER POLLO</t>
  </si>
  <si>
    <t>MIGUEL BLEY</t>
  </si>
  <si>
    <t>MOLIDA ESPECIAL RUPANCO 250GR.</t>
  </si>
  <si>
    <t>SALCHICHON CERVECERO ESPECIAL RDA C100 - BOBINA / CMR05 PF 4</t>
  </si>
  <si>
    <t>CIAL - LA PREFERIDA - PECHUGA DE PAVO COCIDA SIN GLUTEN LA PREFERIDA - 250X420MM CLEAR - SELLO CURVO</t>
  </si>
  <si>
    <t>CERVEZA SAN JORGE</t>
  </si>
  <si>
    <t>vs 27-07</t>
  </si>
  <si>
    <t>JAMONADA LA CRIANZA</t>
  </si>
  <si>
    <t>FANDA</t>
  </si>
  <si>
    <t>FANDA - JAMON TIPO AMERICANO 2,6KG - 180MM CLEAR - CORRUGADO</t>
  </si>
  <si>
    <t>7 PRUEBAS</t>
  </si>
  <si>
    <t>PRUEBAS DE CALIDAD</t>
  </si>
  <si>
    <t>SELLO DEFECTUOSO</t>
  </si>
  <si>
    <t>AJUSTE DE PROCESO</t>
  </si>
  <si>
    <t>UN</t>
  </si>
  <si>
    <t>FLECTACION</t>
  </si>
  <si>
    <t>Se generan 60.3 metros de merma por pruebas de calidad</t>
  </si>
  <si>
    <t>CORTES EN MATERIAL</t>
  </si>
  <si>
    <t>Se generan 122.5 metros de merma por empalmes</t>
  </si>
  <si>
    <t>MT</t>
  </si>
  <si>
    <t>DESCALCE</t>
  </si>
  <si>
    <t>Se generan 817 metros de merma por descalce</t>
  </si>
  <si>
    <t>DIFERENCIA DE COLOR IMPRESO</t>
  </si>
  <si>
    <t>AJUSTES POR VISTO BUENO</t>
  </si>
  <si>
    <t>Se generan 1301 metros de merma por ajustes por visto bueno</t>
  </si>
  <si>
    <t>Se generan 67,9 metros de merma por empalmes</t>
  </si>
  <si>
    <t>Se generan 633,9 metros de merma por diferencia de tono</t>
  </si>
  <si>
    <t>Se generan 547,1 metros de merma por ajuste de proceso</t>
  </si>
  <si>
    <t>MT / UN</t>
  </si>
  <si>
    <t>TOTAL</t>
  </si>
  <si>
    <t>Listado de Merma</t>
  </si>
  <si>
    <t xml:space="preserve">% </t>
  </si>
  <si>
    <t>Cantidad Desperdicio</t>
  </si>
  <si>
    <t>Descripción</t>
  </si>
  <si>
    <t>Producto</t>
  </si>
  <si>
    <t>Se generan 121 unidades de merma por pruebas de calidad</t>
  </si>
  <si>
    <t>Se generan 1020 unidades de merma por ajuste de proceso</t>
  </si>
  <si>
    <t>DIFERENCIA DE METROS</t>
  </si>
  <si>
    <t>se generan 14 metros de merma por diferencia de metros</t>
  </si>
  <si>
    <t>se generan 37 metros de merma por pruebas de calidad</t>
  </si>
  <si>
    <t>se generan 366 metros de merma por empalmes</t>
  </si>
  <si>
    <t>se generan 40 metros de merma por descalce</t>
  </si>
  <si>
    <t>se generan 418 metros de merma por ajuste de proceso</t>
  </si>
  <si>
    <t>se generan 22 metros de merma por pruebas de calidad</t>
  </si>
  <si>
    <t>se generan 271 metros de merma por empalmes</t>
  </si>
  <si>
    <t>se generan 62 metros de merma por diferencia de tono</t>
  </si>
  <si>
    <t>se generan 570 metros de merma por ajuste de proceso</t>
  </si>
  <si>
    <t>se generan 532 metros de merma por empalmes</t>
  </si>
  <si>
    <t>se generan 426 metros de merma por ajuste de proceso</t>
  </si>
  <si>
    <t>COCE - PF - PATE DE JAMON 125G TE000 - BOBINA</t>
  </si>
  <si>
    <t>se generan 54 unidades de merma por empalmes</t>
  </si>
  <si>
    <t>se generan 86 unidades de merma por pruebas de calidad</t>
  </si>
  <si>
    <t>se generan 1035 unidades de merma por sello defectuoso</t>
  </si>
  <si>
    <t>DETENCION DE MAQUINA</t>
  </si>
  <si>
    <t>se generan 216 unidades de merma por detencion de maquina</t>
  </si>
  <si>
    <t>se generan 86 unidades de merma por ajuste de proceso</t>
  </si>
  <si>
    <t>se generan 1078 unidades de merma por flectacion</t>
  </si>
  <si>
    <t>Se generan 355.3 metros de merma por empalmes</t>
  </si>
  <si>
    <t>Se generan 2402 metros de merma por descalce</t>
  </si>
  <si>
    <t>Se generan 304.5 metros de merma por detencion de maquina</t>
  </si>
  <si>
    <t>Se generan 203 metros de merma por ajuste de proceso</t>
  </si>
  <si>
    <t>Se generan 335 metros por corte en material</t>
  </si>
  <si>
    <t>PRODUCTOS FERNANDEZ</t>
  </si>
  <si>
    <t>AVC1-2180CL350SCTP</t>
  </si>
  <si>
    <t>FTF-VFSB-90U447CLBB</t>
  </si>
  <si>
    <t>EMPORIO ALEMAN</t>
  </si>
  <si>
    <t>PPCFTP60CLCG</t>
  </si>
  <si>
    <t>PPSPLP6190CLCG</t>
  </si>
  <si>
    <t>VPP3SHR37AF280CLBB</t>
  </si>
  <si>
    <t>CELPSA</t>
  </si>
  <si>
    <t>SFLM125USKFRT420CLBB</t>
  </si>
  <si>
    <t>BRAUNAU</t>
  </si>
  <si>
    <t>VHRIP85U250CL200SR</t>
  </si>
  <si>
    <t>VC5IP50U230CL500SCTF</t>
  </si>
  <si>
    <t>VHRIP85U205CL600SR</t>
  </si>
  <si>
    <t>BOLSA HUESO TERMOCONTRAIBLE - VHR - 280X700MM CLEAR - SELLO RECTO</t>
  </si>
  <si>
    <t>LOGO MAFRISUR 1 COLOR 200X500MM SELLO CURVO</t>
  </si>
  <si>
    <t>PATRICIO, YAÑEZ ALVAREZ</t>
  </si>
  <si>
    <t>MALLA ELASTICA R/TPX 48/95 - X600MM WHITE - CORTE CLIP</t>
  </si>
  <si>
    <t>VEGAFRESH SPA</t>
  </si>
  <si>
    <t>PF - RDA - SALCHICHON CERVECERO ESPECIAL - C100 CLEAR - CORRUGADO / I.0Q626.000.2 CMR05 PF4</t>
  </si>
  <si>
    <t>CALIDAD / LIRION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</si>
</sst>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41" fontId="0" fillId="0" borderId="0" xfId="1" applyFont="1" applyFill="1" applyBorder="1"/>
    <xf numFmtId="10" fontId="0" fillId="0" borderId="0" xfId="2" applyNumberFormat="1" applyFont="1" applyFill="1" applyBorder="1"/>
    <xf numFmtId="10" fontId="0" fillId="0" borderId="0" xfId="0" applyNumberFormat="1"/>
    <xf numFmtId="14" fontId="0" fillId="0" borderId="0" xfId="0" applyNumberFormat="1"/>
    <xf numFmtId="10" fontId="0" fillId="0" borderId="1" xfId="2" applyNumberFormat="1" applyFont="1" applyFill="1" applyBorder="1"/>
    <xf numFmtId="10" fontId="0" fillId="0" borderId="1" xfId="0" applyNumberFormat="1" applyBorder="1"/>
    <xf numFmtId="41" fontId="0" fillId="0" borderId="1" xfId="1" applyFont="1" applyFill="1" applyBorder="1"/>
    <xf numFmtId="14" fontId="0" fillId="0" borderId="1" xfId="0" applyNumberFormat="1" applyBorder="1"/>
    <xf numFmtId="0" fontId="0" fillId="0" borderId="1" xfId="0" applyBorder="1"/>
    <xf numFmtId="10" fontId="4" fillId="0" borderId="0" xfId="2" applyNumberFormat="1" applyFont="1"/>
    <xf numFmtId="10" fontId="0" fillId="0" borderId="0" xfId="2" applyNumberFormat="1" applyFont="1"/>
    <xf numFmtId="10" fontId="0" fillId="2" borderId="1" xfId="2" applyNumberFormat="1" applyFont="1" applyFill="1" applyBorder="1"/>
    <xf numFmtId="41" fontId="4" fillId="0" borderId="0" xfId="1" applyFont="1"/>
    <xf numFmtId="9" fontId="0" fillId="0" borderId="1" xfId="2" applyFont="1" applyBorder="1"/>
    <xf numFmtId="0" fontId="3" fillId="0" borderId="1" xfId="0" applyFont="1" applyBorder="1"/>
    <xf numFmtId="9" fontId="0" fillId="0" borderId="0" xfId="2" applyFont="1"/>
    <xf numFmtId="10" fontId="5" fillId="0" borderId="0" xfId="0" applyNumberFormat="1" applyFont="1"/>
    <xf numFmtId="10" fontId="5" fillId="0" borderId="1" xfId="2" applyNumberFormat="1" applyFont="1" applyBorder="1"/>
    <xf numFmtId="41" fontId="0" fillId="0" borderId="0" xfId="0" applyNumberFormat="1"/>
    <xf numFmtId="41" fontId="0" fillId="0" borderId="1" xfId="1" applyFont="1" applyBorder="1"/>
    <xf numFmtId="0" fontId="0" fillId="0" borderId="0" xfId="0" applyAlignment="1">
      <alignment horizontal="left"/>
    </xf>
    <xf numFmtId="0" fontId="0" fillId="3" borderId="1" xfId="0" applyFill="1" applyBorder="1"/>
    <xf numFmtId="0" fontId="2" fillId="4" borderId="1" xfId="0" applyFont="1" applyFill="1" applyBorder="1"/>
    <xf numFmtId="10" fontId="0" fillId="2" borderId="1" xfId="0" applyNumberFormat="1" applyFill="1" applyBorder="1"/>
    <xf numFmtId="10" fontId="4" fillId="0" borderId="1" xfId="2" applyNumberFormat="1" applyFont="1" applyBorder="1"/>
    <xf numFmtId="10" fontId="0" fillId="0" borderId="1" xfId="2" applyNumberFormat="1" applyFont="1" applyBorder="1"/>
    <xf numFmtId="41" fontId="4" fillId="0" borderId="1" xfId="1" applyFont="1" applyBorder="1"/>
    <xf numFmtId="41" fontId="0" fillId="0" borderId="0" xfId="1" applyFont="1" applyBorder="1"/>
    <xf numFmtId="0" fontId="0" fillId="2" borderId="1" xfId="0" applyFill="1" applyBorder="1"/>
    <xf numFmtId="41" fontId="2" fillId="4" borderId="1" xfId="1" applyFont="1" applyFill="1" applyBorder="1"/>
    <xf numFmtId="41" fontId="0" fillId="0" borderId="0" xfId="1" applyFont="1"/>
    <xf numFmtId="0" fontId="0" fillId="0" borderId="3" xfId="0" applyBorder="1"/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center"/>
    </xf>
    <xf numFmtId="41" fontId="0" fillId="0" borderId="0" xfId="1" applyFont="1" applyBorder="1" applyAlignment="1">
      <alignment vertical="center"/>
    </xf>
    <xf numFmtId="41" fontId="0" fillId="0" borderId="0" xfId="1" applyFont="1" applyAlignment="1">
      <alignment vertical="center"/>
    </xf>
    <xf numFmtId="41" fontId="0" fillId="0" borderId="7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2" fillId="3" borderId="4" xfId="1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41" fontId="2" fillId="4" borderId="5" xfId="1" applyFont="1" applyFill="1" applyBorder="1" applyAlignment="1">
      <alignment horizontal="center" vertical="center"/>
    </xf>
    <xf numFmtId="41" fontId="0" fillId="0" borderId="2" xfId="1" applyFont="1" applyBorder="1"/>
    <xf numFmtId="0" fontId="0" fillId="0" borderId="1" xfId="0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1" fontId="0" fillId="0" borderId="5" xfId="1" applyFont="1" applyBorder="1" applyAlignment="1">
      <alignment horizontal="center" vertical="center"/>
    </xf>
    <xf numFmtId="41" fontId="0" fillId="0" borderId="2" xfId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9" fontId="0" fillId="0" borderId="0" xfId="2" applyFont="1" applyBorder="1"/>
    <xf numFmtId="0" fontId="0" fillId="0" borderId="5" xfId="0" applyBorder="1"/>
    <xf numFmtId="0" fontId="2" fillId="5" borderId="1" xfId="0" applyFont="1" applyFill="1" applyBorder="1"/>
    <xf numFmtId="0" fontId="2" fillId="4" borderId="3" xfId="0" applyFont="1" applyFill="1" applyBorder="1"/>
    <xf numFmtId="0" fontId="0" fillId="0" borderId="0" xfId="0" applyBorder="1"/>
    <xf numFmtId="10" fontId="5" fillId="0" borderId="0" xfId="0" applyNumberFormat="1" applyFont="1" applyBorder="1"/>
  </cellXfs>
  <cellStyles count="3">
    <cellStyle name="Millares [0]" xfId="1" builtinId="6"/>
    <cellStyle name="Normal" xfId="0" builtinId="0"/>
    <cellStyle name="Porcentaje" xfId="2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wnloads\Seguimiento%20Semanal%20KPIS.xlsx" TargetMode="External"/><Relationship Id="rId1" Type="http://schemas.openxmlformats.org/officeDocument/2006/relationships/externalLinkPath" Target="file:///C:\Users\Usuario\Downloads\Seguimiento%20Semanal%20KP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9-06"/>
      <sheetName val="15-06"/>
      <sheetName val="22-06"/>
      <sheetName val="06-07"/>
      <sheetName val="13-07"/>
      <sheetName val="21-07"/>
      <sheetName val="27-07"/>
      <sheetName val="03-08"/>
      <sheetName val="10-08"/>
      <sheetName val="17-08"/>
      <sheetName val="24-08"/>
      <sheetName val="31-08"/>
      <sheetName val="DETALLE MERMAS 31-08"/>
      <sheetName val="Hoja1"/>
      <sheetName val="OB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8">
          <cell r="B8">
            <v>60983</v>
          </cell>
        </row>
        <row r="9">
          <cell r="B9">
            <v>7.9634311323760629E-2</v>
          </cell>
        </row>
      </sheetData>
      <sheetData sheetId="8">
        <row r="8">
          <cell r="B8">
            <v>66219</v>
          </cell>
        </row>
        <row r="9">
          <cell r="B9">
            <v>8.2915327922427548E-2</v>
          </cell>
        </row>
      </sheetData>
      <sheetData sheetId="9">
        <row r="8">
          <cell r="B8">
            <v>66693</v>
          </cell>
        </row>
        <row r="9">
          <cell r="B9">
            <v>8.6802432805652766E-2</v>
          </cell>
        </row>
      </sheetData>
      <sheetData sheetId="10">
        <row r="8">
          <cell r="B8">
            <v>50841</v>
          </cell>
        </row>
        <row r="9">
          <cell r="B9">
            <v>5.5120978627488611E-2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B16AE-6569-4C03-812C-66C6234B2E45}">
  <sheetPr>
    <tabColor rgb="FFFF0000"/>
    <pageSetUpPr fitToPage="1"/>
  </sheetPr>
  <dimension ref="A1:M135"/>
  <sheetViews>
    <sheetView zoomScaleNormal="100" workbookViewId="0">
      <selection activeCell="D11" sqref="D11"/>
    </sheetView>
  </sheetViews>
  <sheetFormatPr baseColWidth="10" defaultRowHeight="14.4" x14ac:dyDescent="0.3"/>
  <cols>
    <col min="1" max="1" width="23.88671875" bestFit="1" customWidth="1"/>
    <col min="2" max="2" width="11.21875" bestFit="1" customWidth="1"/>
    <col min="3" max="3" width="12.88671875" bestFit="1" customWidth="1"/>
    <col min="4" max="4" width="26.33203125" bestFit="1" customWidth="1"/>
    <col min="5" max="5" width="6" bestFit="1" customWidth="1"/>
    <col min="6" max="6" width="94.88671875" bestFit="1" customWidth="1"/>
    <col min="7" max="7" width="29.33203125" bestFit="1" customWidth="1"/>
    <col min="8" max="8" width="19.33203125" bestFit="1" customWidth="1"/>
    <col min="9" max="9" width="21.33203125" style="28" bestFit="1" customWidth="1"/>
    <col min="10" max="10" width="23.5546875" style="28" bestFit="1" customWidth="1"/>
    <col min="11" max="11" width="13.44140625" style="28" bestFit="1" customWidth="1"/>
    <col min="12" max="12" width="11.6640625" bestFit="1" customWidth="1"/>
    <col min="13" max="13" width="23.21875" bestFit="1" customWidth="1"/>
  </cols>
  <sheetData>
    <row r="1" spans="1:13" x14ac:dyDescent="0.3">
      <c r="A1" s="51" t="s">
        <v>119</v>
      </c>
      <c r="B1" s="51"/>
      <c r="E1" s="23" t="s">
        <v>118</v>
      </c>
      <c r="F1" s="23" t="s">
        <v>117</v>
      </c>
      <c r="G1" s="23" t="s">
        <v>116</v>
      </c>
      <c r="H1" s="23" t="s">
        <v>115</v>
      </c>
      <c r="I1" s="30" t="s">
        <v>114</v>
      </c>
      <c r="J1" s="30" t="s">
        <v>113</v>
      </c>
      <c r="K1" s="30" t="s">
        <v>112</v>
      </c>
      <c r="L1" s="23" t="s">
        <v>111</v>
      </c>
      <c r="M1" s="23" t="s">
        <v>110</v>
      </c>
    </row>
    <row r="2" spans="1:13" x14ac:dyDescent="0.3">
      <c r="A2" s="15" t="s">
        <v>109</v>
      </c>
      <c r="B2" s="8">
        <v>46234</v>
      </c>
      <c r="D2" t="s">
        <v>240</v>
      </c>
      <c r="E2" s="29">
        <v>31900</v>
      </c>
      <c r="F2" s="9" t="s">
        <v>108</v>
      </c>
      <c r="G2" s="9" t="s">
        <v>12</v>
      </c>
      <c r="H2" s="8">
        <v>46241</v>
      </c>
      <c r="I2" s="7">
        <v>50000</v>
      </c>
      <c r="J2" s="7">
        <v>34825</v>
      </c>
      <c r="K2" s="7">
        <v>15175</v>
      </c>
      <c r="L2" s="6">
        <v>0.30399999999999999</v>
      </c>
      <c r="M2" s="12">
        <f t="shared" ref="M2:M33" si="0">K2/$B$8</f>
        <v>0.22916383515305275</v>
      </c>
    </row>
    <row r="3" spans="1:13" x14ac:dyDescent="0.3">
      <c r="A3" s="15" t="s">
        <v>107</v>
      </c>
      <c r="B3" s="8">
        <v>46241</v>
      </c>
      <c r="E3" s="9">
        <v>31899</v>
      </c>
      <c r="F3" s="9" t="s">
        <v>108</v>
      </c>
      <c r="G3" s="9" t="s">
        <v>12</v>
      </c>
      <c r="H3" s="8">
        <v>46238</v>
      </c>
      <c r="I3" s="7">
        <v>50000</v>
      </c>
      <c r="J3" s="7">
        <v>42725</v>
      </c>
      <c r="K3" s="7">
        <v>7275</v>
      </c>
      <c r="L3" s="6">
        <v>0.14599999999999999</v>
      </c>
      <c r="M3" s="12">
        <f t="shared" si="0"/>
        <v>0.10986272821999728</v>
      </c>
    </row>
    <row r="4" spans="1:13" x14ac:dyDescent="0.3">
      <c r="D4" t="s">
        <v>240</v>
      </c>
      <c r="E4" s="29">
        <v>32119</v>
      </c>
      <c r="F4" s="9" t="s">
        <v>97</v>
      </c>
      <c r="G4" s="9" t="s">
        <v>12</v>
      </c>
      <c r="H4" s="8">
        <v>46241</v>
      </c>
      <c r="I4" s="7">
        <v>26000</v>
      </c>
      <c r="J4" s="7">
        <v>19625</v>
      </c>
      <c r="K4" s="7">
        <v>6375</v>
      </c>
      <c r="L4" s="6">
        <v>0.245</v>
      </c>
      <c r="M4" s="12">
        <f t="shared" si="0"/>
        <v>9.6271462873193492E-2</v>
      </c>
    </row>
    <row r="5" spans="1:13" x14ac:dyDescent="0.3">
      <c r="A5" s="15" t="s">
        <v>105</v>
      </c>
      <c r="B5" s="9">
        <f>SUBTOTAL(3,E2:E1048576)</f>
        <v>74</v>
      </c>
      <c r="E5" s="9">
        <v>32198</v>
      </c>
      <c r="F5" s="9" t="s">
        <v>90</v>
      </c>
      <c r="G5" s="9" t="s">
        <v>12</v>
      </c>
      <c r="H5" s="8">
        <v>46238</v>
      </c>
      <c r="I5" s="7">
        <v>24000</v>
      </c>
      <c r="J5" s="7">
        <v>19640</v>
      </c>
      <c r="K5" s="7">
        <v>4360</v>
      </c>
      <c r="L5" s="6">
        <v>0.182</v>
      </c>
      <c r="M5" s="12">
        <f t="shared" si="0"/>
        <v>6.5842129902293905E-2</v>
      </c>
    </row>
    <row r="6" spans="1:13" x14ac:dyDescent="0.3">
      <c r="A6" s="15" t="s">
        <v>103</v>
      </c>
      <c r="B6" s="20">
        <f>SUBTOTAL(9,I2:I173)</f>
        <v>798634</v>
      </c>
      <c r="E6" s="9">
        <v>32469</v>
      </c>
      <c r="F6" s="9" t="s">
        <v>97</v>
      </c>
      <c r="G6" s="9" t="s">
        <v>12</v>
      </c>
      <c r="H6" s="8">
        <v>46240</v>
      </c>
      <c r="I6" s="7">
        <v>24000</v>
      </c>
      <c r="J6" s="7">
        <v>19925</v>
      </c>
      <c r="K6" s="7">
        <v>4075</v>
      </c>
      <c r="L6" s="6">
        <v>0.17</v>
      </c>
      <c r="M6" s="12">
        <f t="shared" si="0"/>
        <v>6.1538229209139372E-2</v>
      </c>
    </row>
    <row r="7" spans="1:13" x14ac:dyDescent="0.3">
      <c r="A7" s="15" t="s">
        <v>101</v>
      </c>
      <c r="B7" s="20">
        <f>SUBTOTAL(9,J2:J173)</f>
        <v>733007</v>
      </c>
      <c r="D7" s="21"/>
      <c r="E7" s="9">
        <v>32462</v>
      </c>
      <c r="F7" s="9" t="s">
        <v>102</v>
      </c>
      <c r="G7" s="9" t="s">
        <v>12</v>
      </c>
      <c r="H7" s="8">
        <v>46241</v>
      </c>
      <c r="I7" s="7">
        <v>22000</v>
      </c>
      <c r="J7" s="7">
        <v>18900</v>
      </c>
      <c r="K7" s="7">
        <v>3100</v>
      </c>
      <c r="L7" s="6">
        <v>0.14099999999999999</v>
      </c>
      <c r="M7" s="12">
        <f t="shared" si="0"/>
        <v>4.6814358416768599E-2</v>
      </c>
    </row>
    <row r="8" spans="1:13" x14ac:dyDescent="0.3">
      <c r="A8" s="15" t="s">
        <v>99</v>
      </c>
      <c r="B8" s="20">
        <f>SUBTOTAL(9,K2:K173)</f>
        <v>66219</v>
      </c>
      <c r="D8" s="19"/>
      <c r="E8" s="9">
        <v>31611</v>
      </c>
      <c r="F8" s="9" t="s">
        <v>97</v>
      </c>
      <c r="G8" s="9" t="s">
        <v>12</v>
      </c>
      <c r="H8" s="8">
        <v>46237</v>
      </c>
      <c r="I8" s="7">
        <v>50000</v>
      </c>
      <c r="J8" s="7">
        <v>47375</v>
      </c>
      <c r="K8" s="7">
        <v>2625</v>
      </c>
      <c r="L8" s="6">
        <v>5.2999999999999999E-2</v>
      </c>
      <c r="M8" s="12">
        <f t="shared" si="0"/>
        <v>3.9641190594844382E-2</v>
      </c>
    </row>
    <row r="9" spans="1:13" x14ac:dyDescent="0.3">
      <c r="A9" s="15" t="s">
        <v>98</v>
      </c>
      <c r="B9" s="18">
        <f>B8/B6</f>
        <v>8.2915327922427548E-2</v>
      </c>
      <c r="D9" s="17"/>
      <c r="E9" s="9">
        <v>32690</v>
      </c>
      <c r="F9" s="9" t="s">
        <v>173</v>
      </c>
      <c r="G9" s="9" t="s">
        <v>2</v>
      </c>
      <c r="H9" s="8">
        <v>46239</v>
      </c>
      <c r="I9" s="20">
        <v>10000</v>
      </c>
      <c r="J9" s="20">
        <v>7900</v>
      </c>
      <c r="K9" s="20">
        <v>2100</v>
      </c>
      <c r="L9" s="6">
        <v>0.21</v>
      </c>
      <c r="M9" s="12">
        <f t="shared" si="0"/>
        <v>3.1712952475875501E-2</v>
      </c>
    </row>
    <row r="10" spans="1:13" x14ac:dyDescent="0.3">
      <c r="A10" s="15" t="s">
        <v>96</v>
      </c>
      <c r="B10" s="9">
        <f>COUNTIF(L:L,"&gt;=5%")</f>
        <v>28</v>
      </c>
      <c r="D10" s="16"/>
      <c r="E10" s="9">
        <v>32740</v>
      </c>
      <c r="F10" s="9" t="s">
        <v>239</v>
      </c>
      <c r="G10" s="9" t="s">
        <v>238</v>
      </c>
      <c r="H10" s="8">
        <v>46234</v>
      </c>
      <c r="I10" s="20">
        <v>7200</v>
      </c>
      <c r="J10" s="20">
        <v>5360</v>
      </c>
      <c r="K10" s="20">
        <v>1840</v>
      </c>
      <c r="L10" s="6">
        <v>0.25600000000000001</v>
      </c>
      <c r="M10" s="12">
        <f t="shared" si="0"/>
        <v>2.77865869312433E-2</v>
      </c>
    </row>
    <row r="11" spans="1:13" x14ac:dyDescent="0.3">
      <c r="A11" s="15" t="s">
        <v>95</v>
      </c>
      <c r="B11" s="14">
        <f>B10/B5</f>
        <v>0.3783783783783784</v>
      </c>
      <c r="E11" s="9">
        <v>32728</v>
      </c>
      <c r="F11" s="9" t="s">
        <v>232</v>
      </c>
      <c r="G11" s="9" t="s">
        <v>231</v>
      </c>
      <c r="H11" s="8">
        <v>46240</v>
      </c>
      <c r="I11" s="20">
        <v>22000</v>
      </c>
      <c r="J11" s="20">
        <v>20250</v>
      </c>
      <c r="K11" s="20">
        <v>1750</v>
      </c>
      <c r="L11" s="6">
        <v>0.08</v>
      </c>
      <c r="M11" s="12">
        <f t="shared" si="0"/>
        <v>2.6427460396562921E-2</v>
      </c>
    </row>
    <row r="12" spans="1:13" x14ac:dyDescent="0.3">
      <c r="E12" s="9">
        <v>32726</v>
      </c>
      <c r="F12" s="9" t="s">
        <v>232</v>
      </c>
      <c r="G12" s="9" t="s">
        <v>231</v>
      </c>
      <c r="H12" s="8">
        <v>46238</v>
      </c>
      <c r="I12" s="20">
        <v>22000</v>
      </c>
      <c r="J12" s="20">
        <v>20550</v>
      </c>
      <c r="K12" s="20">
        <v>1450</v>
      </c>
      <c r="L12" s="6">
        <v>6.6000000000000003E-2</v>
      </c>
      <c r="M12" s="12">
        <f t="shared" si="0"/>
        <v>2.189703861429499E-2</v>
      </c>
    </row>
    <row r="13" spans="1:13" x14ac:dyDescent="0.3">
      <c r="E13" s="9">
        <v>32496</v>
      </c>
      <c r="F13" s="9" t="s">
        <v>237</v>
      </c>
      <c r="G13" s="9" t="s">
        <v>2</v>
      </c>
      <c r="H13" s="8">
        <v>46234</v>
      </c>
      <c r="I13" s="20">
        <v>22400</v>
      </c>
      <c r="J13" s="20">
        <v>21000</v>
      </c>
      <c r="K13" s="20">
        <v>1400</v>
      </c>
      <c r="L13" s="6">
        <v>6.3E-2</v>
      </c>
      <c r="M13" s="12">
        <f t="shared" si="0"/>
        <v>2.1141968317250338E-2</v>
      </c>
    </row>
    <row r="14" spans="1:13" x14ac:dyDescent="0.3">
      <c r="A14" s="11" t="s">
        <v>236</v>
      </c>
      <c r="B14" s="13">
        <f>B8-'[1]03-08'!B8</f>
        <v>5236</v>
      </c>
      <c r="E14" s="9">
        <v>32541</v>
      </c>
      <c r="F14" s="9" t="s">
        <v>230</v>
      </c>
      <c r="G14" s="9" t="s">
        <v>2</v>
      </c>
      <c r="H14" s="8">
        <v>46240</v>
      </c>
      <c r="I14" s="20">
        <v>16800</v>
      </c>
      <c r="J14" s="20">
        <v>15838</v>
      </c>
      <c r="K14" s="20">
        <v>962</v>
      </c>
      <c r="L14" s="6">
        <v>5.7000000000000002E-2</v>
      </c>
      <c r="M14" s="5">
        <f t="shared" si="0"/>
        <v>1.452755251513916E-2</v>
      </c>
    </row>
    <row r="15" spans="1:13" x14ac:dyDescent="0.3">
      <c r="A15" s="11" t="s">
        <v>236</v>
      </c>
      <c r="B15" s="10">
        <f>B9-'[1]03-08'!B9</f>
        <v>3.2810165986669193E-3</v>
      </c>
      <c r="E15" s="9">
        <v>32689</v>
      </c>
      <c r="F15" s="9" t="s">
        <v>173</v>
      </c>
      <c r="G15" s="9" t="s">
        <v>2</v>
      </c>
      <c r="H15" s="8">
        <v>46239</v>
      </c>
      <c r="I15" s="20">
        <v>15000</v>
      </c>
      <c r="J15" s="20">
        <v>14068</v>
      </c>
      <c r="K15" s="20">
        <v>932</v>
      </c>
      <c r="L15" s="6">
        <v>6.2E-2</v>
      </c>
      <c r="M15" s="5">
        <f t="shared" si="0"/>
        <v>1.4074510336912366E-2</v>
      </c>
    </row>
    <row r="16" spans="1:13" x14ac:dyDescent="0.3">
      <c r="E16" s="9">
        <v>32564</v>
      </c>
      <c r="F16" s="9" t="s">
        <v>235</v>
      </c>
      <c r="G16" s="9" t="s">
        <v>12</v>
      </c>
      <c r="H16" s="8">
        <v>46234</v>
      </c>
      <c r="I16" s="20">
        <v>12000</v>
      </c>
      <c r="J16" s="20">
        <v>11200</v>
      </c>
      <c r="K16" s="20">
        <v>800</v>
      </c>
      <c r="L16" s="6">
        <v>6.7000000000000004E-2</v>
      </c>
      <c r="M16" s="5">
        <f t="shared" si="0"/>
        <v>1.2081124752714478E-2</v>
      </c>
    </row>
    <row r="17" spans="5:13" x14ac:dyDescent="0.3">
      <c r="E17" s="9">
        <v>32729</v>
      </c>
      <c r="F17" s="9" t="s">
        <v>232</v>
      </c>
      <c r="G17" s="9" t="s">
        <v>231</v>
      </c>
      <c r="H17" s="8">
        <v>46239</v>
      </c>
      <c r="I17" s="20">
        <v>22000</v>
      </c>
      <c r="J17" s="20">
        <v>21200</v>
      </c>
      <c r="K17" s="20">
        <v>800</v>
      </c>
      <c r="L17" s="6">
        <v>3.5999999999999997E-2</v>
      </c>
      <c r="M17" s="5">
        <f t="shared" si="0"/>
        <v>1.2081124752714478E-2</v>
      </c>
    </row>
    <row r="18" spans="5:13" x14ac:dyDescent="0.3">
      <c r="E18" s="9">
        <v>32766</v>
      </c>
      <c r="F18" s="9" t="s">
        <v>234</v>
      </c>
      <c r="G18" s="9" t="s">
        <v>12</v>
      </c>
      <c r="H18" s="8">
        <v>46234</v>
      </c>
      <c r="I18" s="20">
        <v>6300</v>
      </c>
      <c r="J18" s="20">
        <v>5513</v>
      </c>
      <c r="K18" s="20">
        <v>787</v>
      </c>
      <c r="L18" s="6">
        <v>0.125</v>
      </c>
      <c r="M18" s="5">
        <f t="shared" si="0"/>
        <v>1.1884806475482868E-2</v>
      </c>
    </row>
    <row r="19" spans="5:13" x14ac:dyDescent="0.3">
      <c r="E19" s="9">
        <v>32765</v>
      </c>
      <c r="F19" s="9" t="s">
        <v>234</v>
      </c>
      <c r="G19" s="9" t="s">
        <v>12</v>
      </c>
      <c r="H19" s="8">
        <v>46234</v>
      </c>
      <c r="I19" s="20">
        <v>8400</v>
      </c>
      <c r="J19" s="20">
        <v>7682</v>
      </c>
      <c r="K19" s="20">
        <v>718</v>
      </c>
      <c r="L19" s="6">
        <v>8.5000000000000006E-2</v>
      </c>
      <c r="M19" s="5">
        <f t="shared" si="0"/>
        <v>1.0842809465561244E-2</v>
      </c>
    </row>
    <row r="20" spans="5:13" x14ac:dyDescent="0.3">
      <c r="E20" s="9">
        <v>31828</v>
      </c>
      <c r="F20" s="9" t="s">
        <v>97</v>
      </c>
      <c r="G20" s="9" t="s">
        <v>12</v>
      </c>
      <c r="H20" s="8">
        <v>46237</v>
      </c>
      <c r="I20" s="20">
        <v>12000</v>
      </c>
      <c r="J20" s="20">
        <v>11300</v>
      </c>
      <c r="K20" s="20">
        <v>700</v>
      </c>
      <c r="L20" s="6">
        <v>5.8000000000000003E-2</v>
      </c>
      <c r="M20" s="5">
        <f t="shared" si="0"/>
        <v>1.0570984158625169E-2</v>
      </c>
    </row>
    <row r="21" spans="5:13" x14ac:dyDescent="0.3">
      <c r="E21" s="9">
        <v>32725</v>
      </c>
      <c r="F21" s="9" t="s">
        <v>232</v>
      </c>
      <c r="G21" s="9" t="s">
        <v>231</v>
      </c>
      <c r="H21" s="8">
        <v>46238</v>
      </c>
      <c r="I21" s="20">
        <v>22000</v>
      </c>
      <c r="J21" s="20">
        <v>21350</v>
      </c>
      <c r="K21" s="20">
        <v>650</v>
      </c>
      <c r="L21" s="6">
        <v>0.03</v>
      </c>
      <c r="M21" s="5">
        <f t="shared" si="0"/>
        <v>9.8159138615805126E-3</v>
      </c>
    </row>
    <row r="22" spans="5:13" x14ac:dyDescent="0.3">
      <c r="E22" s="9">
        <v>32789</v>
      </c>
      <c r="F22" s="9" t="s">
        <v>62</v>
      </c>
      <c r="G22" s="9" t="s">
        <v>61</v>
      </c>
      <c r="H22" s="8">
        <v>46238</v>
      </c>
      <c r="I22" s="20">
        <v>15200</v>
      </c>
      <c r="J22" s="20">
        <v>14658</v>
      </c>
      <c r="K22" s="20">
        <v>542</v>
      </c>
      <c r="L22" s="6">
        <v>3.5999999999999997E-2</v>
      </c>
      <c r="M22" s="5">
        <f t="shared" si="0"/>
        <v>8.1849620199640587E-3</v>
      </c>
    </row>
    <row r="23" spans="5:13" x14ac:dyDescent="0.3">
      <c r="E23" s="9">
        <v>32581</v>
      </c>
      <c r="F23" s="9" t="s">
        <v>233</v>
      </c>
      <c r="G23" s="9" t="s">
        <v>176</v>
      </c>
      <c r="H23" s="8">
        <v>46234</v>
      </c>
      <c r="I23" s="20">
        <v>7350</v>
      </c>
      <c r="J23" s="20">
        <v>6847</v>
      </c>
      <c r="K23" s="20">
        <v>503</v>
      </c>
      <c r="L23" s="6">
        <v>6.8000000000000005E-2</v>
      </c>
      <c r="M23" s="5">
        <f t="shared" si="0"/>
        <v>7.5960071882692276E-3</v>
      </c>
    </row>
    <row r="24" spans="5:13" x14ac:dyDescent="0.3">
      <c r="E24" s="9">
        <v>32605</v>
      </c>
      <c r="F24" s="9" t="s">
        <v>182</v>
      </c>
      <c r="G24" s="9" t="s">
        <v>12</v>
      </c>
      <c r="H24" s="8">
        <v>46239</v>
      </c>
      <c r="I24" s="20">
        <v>19600</v>
      </c>
      <c r="J24" s="20">
        <v>19100</v>
      </c>
      <c r="K24" s="20">
        <v>500</v>
      </c>
      <c r="L24" s="6">
        <v>2.5999999999999999E-2</v>
      </c>
      <c r="M24" s="5">
        <f t="shared" si="0"/>
        <v>7.5507029704465489E-3</v>
      </c>
    </row>
    <row r="25" spans="5:13" x14ac:dyDescent="0.3">
      <c r="E25" s="9">
        <v>32727</v>
      </c>
      <c r="F25" s="9" t="s">
        <v>232</v>
      </c>
      <c r="G25" s="9" t="s">
        <v>231</v>
      </c>
      <c r="H25" s="8">
        <v>46239</v>
      </c>
      <c r="I25" s="20">
        <v>24000</v>
      </c>
      <c r="J25" s="20">
        <v>23500</v>
      </c>
      <c r="K25" s="20">
        <v>500</v>
      </c>
      <c r="L25" s="6">
        <v>2.1000000000000001E-2</v>
      </c>
      <c r="M25" s="5">
        <f t="shared" si="0"/>
        <v>7.5507029704465489E-3</v>
      </c>
    </row>
    <row r="26" spans="5:13" x14ac:dyDescent="0.3">
      <c r="E26" s="9">
        <v>32540</v>
      </c>
      <c r="F26" s="9" t="s">
        <v>230</v>
      </c>
      <c r="G26" s="9" t="s">
        <v>2</v>
      </c>
      <c r="H26" s="8">
        <v>46240</v>
      </c>
      <c r="I26" s="20">
        <v>16800</v>
      </c>
      <c r="J26" s="20">
        <v>16400</v>
      </c>
      <c r="K26" s="20">
        <v>400</v>
      </c>
      <c r="L26" s="6">
        <v>2.4E-2</v>
      </c>
      <c r="M26" s="5">
        <f t="shared" si="0"/>
        <v>6.040562376357239E-3</v>
      </c>
    </row>
    <row r="27" spans="5:13" x14ac:dyDescent="0.3">
      <c r="E27" s="9">
        <v>32790</v>
      </c>
      <c r="F27" s="9" t="s">
        <v>62</v>
      </c>
      <c r="G27" s="9" t="s">
        <v>61</v>
      </c>
      <c r="H27" s="8">
        <v>46237</v>
      </c>
      <c r="I27" s="20">
        <v>15200</v>
      </c>
      <c r="J27" s="20">
        <v>14816</v>
      </c>
      <c r="K27" s="20">
        <v>384</v>
      </c>
      <c r="L27" s="6">
        <v>2.5000000000000001E-2</v>
      </c>
      <c r="M27" s="5">
        <f t="shared" si="0"/>
        <v>5.7989398813029494E-3</v>
      </c>
    </row>
    <row r="28" spans="5:13" x14ac:dyDescent="0.3">
      <c r="E28" s="9">
        <v>32756</v>
      </c>
      <c r="F28" s="9" t="s">
        <v>229</v>
      </c>
      <c r="G28" s="9" t="s">
        <v>2</v>
      </c>
      <c r="H28" s="8">
        <v>46238</v>
      </c>
      <c r="I28" s="20">
        <v>9644</v>
      </c>
      <c r="J28" s="20">
        <v>9262</v>
      </c>
      <c r="K28" s="20">
        <v>382</v>
      </c>
      <c r="L28" s="6">
        <v>0.04</v>
      </c>
      <c r="M28" s="5">
        <f t="shared" si="0"/>
        <v>5.7687370694211627E-3</v>
      </c>
    </row>
    <row r="29" spans="5:13" x14ac:dyDescent="0.3">
      <c r="E29" s="9">
        <v>32748</v>
      </c>
      <c r="F29" s="9" t="s">
        <v>228</v>
      </c>
      <c r="G29" s="9" t="s">
        <v>206</v>
      </c>
      <c r="H29" s="8">
        <v>46234</v>
      </c>
      <c r="I29" s="20">
        <v>5700</v>
      </c>
      <c r="J29" s="20">
        <v>5322</v>
      </c>
      <c r="K29" s="20">
        <v>378</v>
      </c>
      <c r="L29" s="6">
        <v>6.6000000000000003E-2</v>
      </c>
      <c r="M29" s="5">
        <f t="shared" si="0"/>
        <v>5.7083314456575903E-3</v>
      </c>
    </row>
    <row r="30" spans="5:13" x14ac:dyDescent="0.3">
      <c r="E30" s="9">
        <v>32758</v>
      </c>
      <c r="F30" s="9" t="s">
        <v>193</v>
      </c>
      <c r="G30" s="9" t="s">
        <v>192</v>
      </c>
      <c r="H30" s="8">
        <v>46234</v>
      </c>
      <c r="I30" s="20">
        <v>3120</v>
      </c>
      <c r="J30" s="20">
        <v>2750</v>
      </c>
      <c r="K30" s="20">
        <v>370</v>
      </c>
      <c r="L30" s="6">
        <v>0.11899999999999999</v>
      </c>
      <c r="M30" s="5">
        <f t="shared" si="0"/>
        <v>5.5875201981304455E-3</v>
      </c>
    </row>
    <row r="31" spans="5:13" x14ac:dyDescent="0.3">
      <c r="E31" s="9">
        <v>32767</v>
      </c>
      <c r="F31" s="9" t="s">
        <v>227</v>
      </c>
      <c r="G31" s="9" t="s">
        <v>226</v>
      </c>
      <c r="H31" s="8">
        <v>46234</v>
      </c>
      <c r="I31" s="20">
        <v>4200</v>
      </c>
      <c r="J31" s="20">
        <v>3899</v>
      </c>
      <c r="K31" s="20">
        <v>301</v>
      </c>
      <c r="L31" s="6">
        <v>7.1999999999999995E-2</v>
      </c>
      <c r="M31" s="5">
        <f t="shared" si="0"/>
        <v>4.5455231882088219E-3</v>
      </c>
    </row>
    <row r="32" spans="5:13" x14ac:dyDescent="0.3">
      <c r="E32" s="9">
        <v>32768</v>
      </c>
      <c r="F32" s="9" t="s">
        <v>227</v>
      </c>
      <c r="G32" s="9" t="s">
        <v>226</v>
      </c>
      <c r="H32" s="8">
        <v>46238</v>
      </c>
      <c r="I32" s="20">
        <v>4200</v>
      </c>
      <c r="J32" s="20">
        <v>3927</v>
      </c>
      <c r="K32" s="20">
        <v>273</v>
      </c>
      <c r="L32" s="6">
        <v>6.5000000000000002E-2</v>
      </c>
      <c r="M32" s="5">
        <f t="shared" si="0"/>
        <v>4.1226838218638151E-3</v>
      </c>
    </row>
    <row r="33" spans="5:13" x14ac:dyDescent="0.3">
      <c r="E33" s="9">
        <v>32738</v>
      </c>
      <c r="F33" s="9" t="s">
        <v>225</v>
      </c>
      <c r="G33" s="9" t="s">
        <v>214</v>
      </c>
      <c r="H33" s="8">
        <v>46237</v>
      </c>
      <c r="I33" s="20">
        <v>2100</v>
      </c>
      <c r="J33" s="20">
        <v>1872</v>
      </c>
      <c r="K33" s="20">
        <v>228</v>
      </c>
      <c r="L33" s="6">
        <v>0.109</v>
      </c>
      <c r="M33" s="5">
        <f t="shared" si="0"/>
        <v>3.4431205545236263E-3</v>
      </c>
    </row>
    <row r="34" spans="5:13" x14ac:dyDescent="0.3">
      <c r="E34" s="9">
        <v>32801</v>
      </c>
      <c r="F34" s="9" t="s">
        <v>78</v>
      </c>
      <c r="G34" s="9" t="s">
        <v>30</v>
      </c>
      <c r="H34" s="8">
        <v>46238</v>
      </c>
      <c r="I34" s="20">
        <v>3800</v>
      </c>
      <c r="J34" s="20">
        <v>3577</v>
      </c>
      <c r="K34" s="20">
        <v>223</v>
      </c>
      <c r="L34" s="6">
        <v>5.8999999999999997E-2</v>
      </c>
      <c r="M34" s="5">
        <f t="shared" ref="M34:M65" si="1">K34/$B$8</f>
        <v>3.3676135248191606E-3</v>
      </c>
    </row>
    <row r="35" spans="5:13" x14ac:dyDescent="0.3">
      <c r="E35" s="9">
        <v>32814</v>
      </c>
      <c r="F35" s="9" t="s">
        <v>65</v>
      </c>
      <c r="G35" s="9" t="s">
        <v>64</v>
      </c>
      <c r="H35" s="8">
        <v>46241</v>
      </c>
      <c r="I35" s="20">
        <v>5400</v>
      </c>
      <c r="J35" s="20">
        <v>5190</v>
      </c>
      <c r="K35" s="20">
        <v>210</v>
      </c>
      <c r="L35" s="6">
        <v>3.9E-2</v>
      </c>
      <c r="M35" s="5">
        <f t="shared" si="1"/>
        <v>3.1712952475875505E-3</v>
      </c>
    </row>
    <row r="36" spans="5:13" x14ac:dyDescent="0.3">
      <c r="E36" s="9">
        <v>32815</v>
      </c>
      <c r="F36" s="9" t="s">
        <v>224</v>
      </c>
      <c r="G36" s="9" t="s">
        <v>30</v>
      </c>
      <c r="H36" s="8">
        <v>46240</v>
      </c>
      <c r="I36" s="20">
        <v>5700</v>
      </c>
      <c r="J36" s="20">
        <v>5498</v>
      </c>
      <c r="K36" s="20">
        <v>202</v>
      </c>
      <c r="L36" s="6">
        <v>3.5000000000000003E-2</v>
      </c>
      <c r="M36" s="5">
        <f t="shared" si="1"/>
        <v>3.0504840000604057E-3</v>
      </c>
    </row>
    <row r="37" spans="5:13" x14ac:dyDescent="0.3">
      <c r="E37" s="9">
        <v>32857</v>
      </c>
      <c r="F37" s="9" t="s">
        <v>62</v>
      </c>
      <c r="G37" s="9" t="s">
        <v>61</v>
      </c>
      <c r="H37" s="8">
        <v>46241</v>
      </c>
      <c r="I37" s="20">
        <v>7600</v>
      </c>
      <c r="J37" s="20">
        <v>7418</v>
      </c>
      <c r="K37" s="20">
        <v>182</v>
      </c>
      <c r="L37" s="6">
        <v>2.4E-2</v>
      </c>
      <c r="M37" s="5">
        <f t="shared" si="1"/>
        <v>2.7484558812425437E-3</v>
      </c>
    </row>
    <row r="38" spans="5:13" x14ac:dyDescent="0.3">
      <c r="E38" s="9">
        <v>32799</v>
      </c>
      <c r="F38" s="9" t="s">
        <v>223</v>
      </c>
      <c r="G38" s="9" t="s">
        <v>222</v>
      </c>
      <c r="H38" s="8">
        <v>46237</v>
      </c>
      <c r="I38" s="20">
        <v>3800</v>
      </c>
      <c r="J38" s="20">
        <v>3626</v>
      </c>
      <c r="K38" s="20">
        <v>174</v>
      </c>
      <c r="L38" s="6">
        <v>4.5999999999999999E-2</v>
      </c>
      <c r="M38" s="5">
        <f t="shared" si="1"/>
        <v>2.6276446337153989E-3</v>
      </c>
    </row>
    <row r="39" spans="5:13" x14ac:dyDescent="0.3">
      <c r="E39" s="9">
        <v>32682</v>
      </c>
      <c r="F39" s="9" t="s">
        <v>218</v>
      </c>
      <c r="G39" s="9" t="s">
        <v>71</v>
      </c>
      <c r="H39" s="8">
        <v>46237</v>
      </c>
      <c r="I39" s="20">
        <v>9800</v>
      </c>
      <c r="J39" s="20">
        <v>9628</v>
      </c>
      <c r="K39" s="20">
        <v>172</v>
      </c>
      <c r="L39" s="6">
        <v>1.7999999999999999E-2</v>
      </c>
      <c r="M39" s="5">
        <f t="shared" si="1"/>
        <v>2.5974418218336127E-3</v>
      </c>
    </row>
    <row r="40" spans="5:13" x14ac:dyDescent="0.3">
      <c r="E40" s="9">
        <v>32739</v>
      </c>
      <c r="F40" s="9" t="s">
        <v>221</v>
      </c>
      <c r="G40" s="9" t="s">
        <v>214</v>
      </c>
      <c r="H40" s="8">
        <v>46237</v>
      </c>
      <c r="I40" s="20">
        <v>2100</v>
      </c>
      <c r="J40" s="20">
        <v>1944</v>
      </c>
      <c r="K40" s="20">
        <v>156</v>
      </c>
      <c r="L40" s="6">
        <v>7.3999999999999996E-2</v>
      </c>
      <c r="M40" s="5">
        <f t="shared" si="1"/>
        <v>2.3558193267793231E-3</v>
      </c>
    </row>
    <row r="41" spans="5:13" x14ac:dyDescent="0.3">
      <c r="E41" s="9">
        <v>32796</v>
      </c>
      <c r="F41" s="9" t="s">
        <v>220</v>
      </c>
      <c r="G41" s="9" t="s">
        <v>219</v>
      </c>
      <c r="H41" s="8">
        <v>46237</v>
      </c>
      <c r="I41" s="20">
        <v>4200</v>
      </c>
      <c r="J41" s="20">
        <v>4048</v>
      </c>
      <c r="K41" s="20">
        <v>152</v>
      </c>
      <c r="L41" s="6">
        <v>3.5999999999999997E-2</v>
      </c>
      <c r="M41" s="5">
        <f t="shared" si="1"/>
        <v>2.2954137030157507E-3</v>
      </c>
    </row>
    <row r="42" spans="5:13" x14ac:dyDescent="0.3">
      <c r="E42" s="9">
        <v>32681</v>
      </c>
      <c r="F42" s="9" t="s">
        <v>218</v>
      </c>
      <c r="G42" s="9" t="s">
        <v>71</v>
      </c>
      <c r="H42" s="8">
        <v>46234</v>
      </c>
      <c r="I42" s="20">
        <v>11200</v>
      </c>
      <c r="J42" s="20">
        <v>11050</v>
      </c>
      <c r="K42" s="20">
        <v>150</v>
      </c>
      <c r="L42" s="6">
        <v>1.2999999999999999E-2</v>
      </c>
      <c r="M42" s="5">
        <f t="shared" si="1"/>
        <v>2.2652108911339645E-3</v>
      </c>
    </row>
    <row r="43" spans="5:13" x14ac:dyDescent="0.3">
      <c r="E43" s="9">
        <v>32770</v>
      </c>
      <c r="F43" s="9" t="s">
        <v>11</v>
      </c>
      <c r="G43" s="9" t="s">
        <v>187</v>
      </c>
      <c r="H43" s="8">
        <v>46239</v>
      </c>
      <c r="I43" s="20">
        <v>15750</v>
      </c>
      <c r="J43" s="20">
        <v>15600</v>
      </c>
      <c r="K43" s="20">
        <v>150</v>
      </c>
      <c r="L43" s="6">
        <v>0.01</v>
      </c>
      <c r="M43" s="5">
        <f t="shared" si="1"/>
        <v>2.2652108911339645E-3</v>
      </c>
    </row>
    <row r="44" spans="5:13" x14ac:dyDescent="0.3">
      <c r="E44" s="9">
        <v>32771</v>
      </c>
      <c r="F44" s="9" t="s">
        <v>217</v>
      </c>
      <c r="G44" s="9" t="s">
        <v>10</v>
      </c>
      <c r="H44" s="8">
        <v>46239</v>
      </c>
      <c r="I44" s="20">
        <v>15750</v>
      </c>
      <c r="J44" s="20">
        <v>15600</v>
      </c>
      <c r="K44" s="20">
        <v>150</v>
      </c>
      <c r="L44" s="6">
        <v>0.01</v>
      </c>
      <c r="M44" s="5">
        <f t="shared" si="1"/>
        <v>2.2652108911339645E-3</v>
      </c>
    </row>
    <row r="45" spans="5:13" x14ac:dyDescent="0.3">
      <c r="E45" s="9">
        <v>32818</v>
      </c>
      <c r="F45" s="9" t="s">
        <v>216</v>
      </c>
      <c r="G45" s="9" t="s">
        <v>45</v>
      </c>
      <c r="H45" s="8">
        <v>46240</v>
      </c>
      <c r="I45" s="20">
        <v>2100</v>
      </c>
      <c r="J45" s="20">
        <v>1967</v>
      </c>
      <c r="K45" s="20">
        <v>133</v>
      </c>
      <c r="L45" s="6">
        <v>6.3E-2</v>
      </c>
      <c r="M45" s="5">
        <f t="shared" si="1"/>
        <v>2.008486990138782E-3</v>
      </c>
    </row>
    <row r="46" spans="5:13" x14ac:dyDescent="0.3">
      <c r="E46" s="9">
        <v>32737</v>
      </c>
      <c r="F46" s="9" t="s">
        <v>215</v>
      </c>
      <c r="G46" s="9" t="s">
        <v>214</v>
      </c>
      <c r="H46" s="8">
        <v>46234</v>
      </c>
      <c r="I46" s="20">
        <v>2100</v>
      </c>
      <c r="J46" s="20">
        <v>1968</v>
      </c>
      <c r="K46" s="20">
        <v>132</v>
      </c>
      <c r="L46" s="6">
        <v>6.3E-2</v>
      </c>
      <c r="M46" s="5">
        <f t="shared" si="1"/>
        <v>1.9933855841978887E-3</v>
      </c>
    </row>
    <row r="47" spans="5:13" x14ac:dyDescent="0.3">
      <c r="E47" s="9">
        <v>32806</v>
      </c>
      <c r="F47" s="9" t="s">
        <v>213</v>
      </c>
      <c r="G47" s="9" t="s">
        <v>212</v>
      </c>
      <c r="H47" s="8">
        <v>46239</v>
      </c>
      <c r="I47" s="20">
        <v>6300</v>
      </c>
      <c r="J47" s="20">
        <v>6175</v>
      </c>
      <c r="K47" s="20">
        <v>125</v>
      </c>
      <c r="L47" s="6">
        <v>0.02</v>
      </c>
      <c r="M47" s="5">
        <f t="shared" si="1"/>
        <v>1.8876757426116372E-3</v>
      </c>
    </row>
    <row r="48" spans="5:13" x14ac:dyDescent="0.3">
      <c r="E48" s="9">
        <v>32800</v>
      </c>
      <c r="F48" s="9" t="s">
        <v>39</v>
      </c>
      <c r="G48" s="9" t="s">
        <v>24</v>
      </c>
      <c r="H48" s="8">
        <v>46238</v>
      </c>
      <c r="I48" s="20">
        <v>2400</v>
      </c>
      <c r="J48" s="20">
        <v>2285</v>
      </c>
      <c r="K48" s="20">
        <v>115</v>
      </c>
      <c r="L48" s="6">
        <v>4.8000000000000001E-2</v>
      </c>
      <c r="M48" s="5">
        <f t="shared" si="1"/>
        <v>1.7366616832027062E-3</v>
      </c>
    </row>
    <row r="49" spans="5:13" x14ac:dyDescent="0.3">
      <c r="E49" s="9">
        <v>32773</v>
      </c>
      <c r="F49" s="9" t="s">
        <v>161</v>
      </c>
      <c r="G49" s="9" t="s">
        <v>12</v>
      </c>
      <c r="H49" s="8">
        <v>46237</v>
      </c>
      <c r="I49" s="20">
        <v>3000</v>
      </c>
      <c r="J49" s="20">
        <v>2895</v>
      </c>
      <c r="K49" s="20">
        <v>105</v>
      </c>
      <c r="L49" s="6">
        <v>3.5000000000000003E-2</v>
      </c>
      <c r="M49" s="5">
        <f t="shared" si="1"/>
        <v>1.5856476237937752E-3</v>
      </c>
    </row>
    <row r="50" spans="5:13" x14ac:dyDescent="0.3">
      <c r="E50" s="9">
        <v>32802</v>
      </c>
      <c r="F50" s="9" t="s">
        <v>211</v>
      </c>
      <c r="G50" s="9" t="s">
        <v>28</v>
      </c>
      <c r="H50" s="8">
        <v>46238</v>
      </c>
      <c r="I50" s="20">
        <v>12600</v>
      </c>
      <c r="J50" s="20">
        <v>12500</v>
      </c>
      <c r="K50" s="20">
        <v>100</v>
      </c>
      <c r="L50" s="6">
        <v>8.0000000000000002E-3</v>
      </c>
      <c r="M50" s="5">
        <f t="shared" si="1"/>
        <v>1.5101405940893097E-3</v>
      </c>
    </row>
    <row r="51" spans="5:13" x14ac:dyDescent="0.3">
      <c r="E51" s="9">
        <v>32804</v>
      </c>
      <c r="F51" s="9" t="s">
        <v>210</v>
      </c>
      <c r="G51" s="9" t="s">
        <v>197</v>
      </c>
      <c r="H51" s="8">
        <v>46239</v>
      </c>
      <c r="I51" s="20">
        <v>4200</v>
      </c>
      <c r="J51" s="20">
        <v>4113</v>
      </c>
      <c r="K51" s="20">
        <v>87</v>
      </c>
      <c r="L51" s="6">
        <v>2.1000000000000001E-2</v>
      </c>
      <c r="M51" s="5">
        <f t="shared" si="1"/>
        <v>1.3138223168576994E-3</v>
      </c>
    </row>
    <row r="52" spans="5:13" x14ac:dyDescent="0.3">
      <c r="E52" s="9">
        <v>32813</v>
      </c>
      <c r="F52" s="9" t="s">
        <v>46</v>
      </c>
      <c r="G52" s="9" t="s">
        <v>45</v>
      </c>
      <c r="H52" s="8">
        <v>46241</v>
      </c>
      <c r="I52" s="20">
        <v>2100</v>
      </c>
      <c r="J52" s="20">
        <v>2013</v>
      </c>
      <c r="K52" s="20">
        <v>87</v>
      </c>
      <c r="L52" s="6">
        <v>4.1000000000000002E-2</v>
      </c>
      <c r="M52" s="5">
        <f t="shared" si="1"/>
        <v>1.3138223168576994E-3</v>
      </c>
    </row>
    <row r="53" spans="5:13" x14ac:dyDescent="0.3">
      <c r="E53" s="9">
        <v>32835</v>
      </c>
      <c r="F53" s="9" t="s">
        <v>209</v>
      </c>
      <c r="G53" s="9" t="s">
        <v>185</v>
      </c>
      <c r="H53" s="8">
        <v>46240</v>
      </c>
      <c r="I53" s="20">
        <v>2100</v>
      </c>
      <c r="J53" s="20">
        <v>2015</v>
      </c>
      <c r="K53" s="20">
        <v>85</v>
      </c>
      <c r="L53" s="6">
        <v>0.04</v>
      </c>
      <c r="M53" s="5">
        <f t="shared" si="1"/>
        <v>1.2836195049759132E-3</v>
      </c>
    </row>
    <row r="54" spans="5:13" x14ac:dyDescent="0.3">
      <c r="E54" s="9">
        <v>32832</v>
      </c>
      <c r="F54" s="9" t="s">
        <v>134</v>
      </c>
      <c r="G54" s="9" t="s">
        <v>133</v>
      </c>
      <c r="H54" s="8">
        <v>46240</v>
      </c>
      <c r="I54" s="20">
        <v>2200</v>
      </c>
      <c r="J54" s="20">
        <v>2117</v>
      </c>
      <c r="K54" s="20">
        <v>83</v>
      </c>
      <c r="L54" s="6">
        <v>3.7999999999999999E-2</v>
      </c>
      <c r="M54" s="5">
        <f t="shared" si="1"/>
        <v>1.253416693094127E-3</v>
      </c>
    </row>
    <row r="55" spans="5:13" x14ac:dyDescent="0.3">
      <c r="E55" s="9">
        <v>32833</v>
      </c>
      <c r="F55" s="9" t="s">
        <v>208</v>
      </c>
      <c r="G55" s="9" t="s">
        <v>185</v>
      </c>
      <c r="H55" s="8">
        <v>46240</v>
      </c>
      <c r="I55" s="20">
        <v>2100</v>
      </c>
      <c r="J55" s="20">
        <v>2017</v>
      </c>
      <c r="K55" s="20">
        <v>83</v>
      </c>
      <c r="L55" s="6">
        <v>0.04</v>
      </c>
      <c r="M55" s="5">
        <f t="shared" si="1"/>
        <v>1.253416693094127E-3</v>
      </c>
    </row>
    <row r="56" spans="5:13" x14ac:dyDescent="0.3">
      <c r="E56" s="9">
        <v>32749</v>
      </c>
      <c r="F56" s="9" t="s">
        <v>207</v>
      </c>
      <c r="G56" s="9" t="s">
        <v>206</v>
      </c>
      <c r="H56" s="8">
        <v>46234</v>
      </c>
      <c r="I56" s="20">
        <v>5700</v>
      </c>
      <c r="J56" s="20">
        <v>5619</v>
      </c>
      <c r="K56" s="20">
        <v>81</v>
      </c>
      <c r="L56" s="6">
        <v>1.4E-2</v>
      </c>
      <c r="M56" s="5">
        <f t="shared" si="1"/>
        <v>1.2232138812123408E-3</v>
      </c>
    </row>
    <row r="57" spans="5:13" x14ac:dyDescent="0.3">
      <c r="E57" s="9">
        <v>32763</v>
      </c>
      <c r="F57" s="9" t="s">
        <v>205</v>
      </c>
      <c r="G57" s="9" t="s">
        <v>204</v>
      </c>
      <c r="H57" s="8">
        <v>46234</v>
      </c>
      <c r="I57" s="20">
        <v>2100</v>
      </c>
      <c r="J57" s="20">
        <v>2020</v>
      </c>
      <c r="K57" s="20">
        <v>80</v>
      </c>
      <c r="L57" s="6">
        <v>3.7999999999999999E-2</v>
      </c>
      <c r="M57" s="5">
        <f t="shared" si="1"/>
        <v>1.2081124752714477E-3</v>
      </c>
    </row>
    <row r="58" spans="5:13" x14ac:dyDescent="0.3">
      <c r="E58" s="9">
        <v>32834</v>
      </c>
      <c r="F58" s="9" t="s">
        <v>203</v>
      </c>
      <c r="G58" s="9" t="s">
        <v>185</v>
      </c>
      <c r="H58" s="8">
        <v>46240</v>
      </c>
      <c r="I58" s="20">
        <v>2100</v>
      </c>
      <c r="J58" s="20">
        <v>2047</v>
      </c>
      <c r="K58" s="20">
        <v>53</v>
      </c>
      <c r="L58" s="6">
        <v>2.5000000000000001E-2</v>
      </c>
      <c r="M58" s="5">
        <f t="shared" si="1"/>
        <v>8.0037451486733417E-4</v>
      </c>
    </row>
    <row r="59" spans="5:13" x14ac:dyDescent="0.3">
      <c r="E59" s="9">
        <v>32805</v>
      </c>
      <c r="F59" s="9" t="s">
        <v>202</v>
      </c>
      <c r="G59" s="9" t="s">
        <v>197</v>
      </c>
      <c r="H59" s="8">
        <v>46240</v>
      </c>
      <c r="I59" s="20">
        <v>2100</v>
      </c>
      <c r="J59" s="20">
        <v>2049</v>
      </c>
      <c r="K59" s="20">
        <v>51</v>
      </c>
      <c r="L59" s="6">
        <v>2.4E-2</v>
      </c>
      <c r="M59" s="5">
        <f t="shared" si="1"/>
        <v>7.7017170298554797E-4</v>
      </c>
    </row>
    <row r="60" spans="5:13" x14ac:dyDescent="0.3">
      <c r="E60" s="9">
        <v>32798</v>
      </c>
      <c r="F60" s="9" t="s">
        <v>201</v>
      </c>
      <c r="G60" s="9" t="s">
        <v>194</v>
      </c>
      <c r="H60" s="8">
        <v>46237</v>
      </c>
      <c r="I60" s="20">
        <v>2100</v>
      </c>
      <c r="J60" s="20">
        <v>2050</v>
      </c>
      <c r="K60" s="20">
        <v>50</v>
      </c>
      <c r="L60" s="6">
        <v>2.4E-2</v>
      </c>
      <c r="M60" s="5">
        <f t="shared" si="1"/>
        <v>7.5507029704465487E-4</v>
      </c>
    </row>
    <row r="61" spans="5:13" x14ac:dyDescent="0.3">
      <c r="E61" s="9">
        <v>32855</v>
      </c>
      <c r="F61" s="9" t="s">
        <v>39</v>
      </c>
      <c r="G61" s="9" t="s">
        <v>24</v>
      </c>
      <c r="H61" s="8">
        <v>46241</v>
      </c>
      <c r="I61" s="20">
        <v>1200</v>
      </c>
      <c r="J61" s="20">
        <v>1150</v>
      </c>
      <c r="K61" s="20">
        <v>50</v>
      </c>
      <c r="L61" s="6">
        <v>4.2000000000000003E-2</v>
      </c>
      <c r="M61" s="5">
        <f t="shared" si="1"/>
        <v>7.5507029704465487E-4</v>
      </c>
    </row>
    <row r="62" spans="5:13" x14ac:dyDescent="0.3">
      <c r="E62" s="9">
        <v>32788</v>
      </c>
      <c r="F62" s="9" t="s">
        <v>200</v>
      </c>
      <c r="G62" s="9" t="s">
        <v>199</v>
      </c>
      <c r="H62" s="8">
        <v>46237</v>
      </c>
      <c r="I62" s="20">
        <v>1900</v>
      </c>
      <c r="J62" s="20">
        <v>1854</v>
      </c>
      <c r="K62" s="20">
        <v>46</v>
      </c>
      <c r="L62" s="6">
        <v>2.4E-2</v>
      </c>
      <c r="M62" s="5">
        <f t="shared" si="1"/>
        <v>6.9466467328108247E-4</v>
      </c>
    </row>
    <row r="63" spans="5:13" x14ac:dyDescent="0.3">
      <c r="E63" s="9">
        <v>32803</v>
      </c>
      <c r="F63" s="9" t="s">
        <v>198</v>
      </c>
      <c r="G63" s="9" t="s">
        <v>197</v>
      </c>
      <c r="H63" s="8">
        <v>46239</v>
      </c>
      <c r="I63" s="20">
        <v>2100</v>
      </c>
      <c r="J63" s="20">
        <v>2057</v>
      </c>
      <c r="K63" s="20">
        <v>43</v>
      </c>
      <c r="L63" s="6">
        <v>0.02</v>
      </c>
      <c r="M63" s="5">
        <f t="shared" si="1"/>
        <v>6.4936045545840317E-4</v>
      </c>
    </row>
    <row r="64" spans="5:13" x14ac:dyDescent="0.3">
      <c r="E64" s="9">
        <v>32754</v>
      </c>
      <c r="F64" s="9" t="s">
        <v>196</v>
      </c>
      <c r="G64" s="9" t="s">
        <v>2</v>
      </c>
      <c r="H64" s="8">
        <v>46234</v>
      </c>
      <c r="I64" s="20">
        <v>2000</v>
      </c>
      <c r="J64" s="20">
        <v>1970</v>
      </c>
      <c r="K64" s="20">
        <v>30</v>
      </c>
      <c r="L64" s="6">
        <v>1.4999999999999999E-2</v>
      </c>
      <c r="M64" s="5">
        <f t="shared" si="1"/>
        <v>4.5304217822679293E-4</v>
      </c>
    </row>
    <row r="65" spans="5:13" x14ac:dyDescent="0.3">
      <c r="E65" s="9">
        <v>32797</v>
      </c>
      <c r="F65" s="9" t="s">
        <v>195</v>
      </c>
      <c r="G65" s="9" t="s">
        <v>194</v>
      </c>
      <c r="H65" s="8">
        <v>46237</v>
      </c>
      <c r="I65" s="20">
        <v>2100</v>
      </c>
      <c r="J65" s="20">
        <v>2076</v>
      </c>
      <c r="K65" s="20">
        <v>24</v>
      </c>
      <c r="L65" s="6">
        <v>1.0999999999999999E-2</v>
      </c>
      <c r="M65" s="5">
        <f t="shared" si="1"/>
        <v>3.6243374258143434E-4</v>
      </c>
    </row>
    <row r="66" spans="5:13" x14ac:dyDescent="0.3">
      <c r="E66" s="9">
        <v>32759</v>
      </c>
      <c r="F66" s="9" t="s">
        <v>193</v>
      </c>
      <c r="G66" s="9" t="s">
        <v>192</v>
      </c>
      <c r="H66" s="8">
        <v>46234</v>
      </c>
      <c r="I66" s="20">
        <v>3120</v>
      </c>
      <c r="J66" s="20">
        <v>3100</v>
      </c>
      <c r="K66" s="20">
        <v>20</v>
      </c>
      <c r="L66" s="6">
        <v>6.0000000000000001E-3</v>
      </c>
      <c r="M66" s="5">
        <f t="shared" ref="M66:M76" si="2">K66/$B$8</f>
        <v>3.0202811881786194E-4</v>
      </c>
    </row>
    <row r="67" spans="5:13" x14ac:dyDescent="0.3">
      <c r="E67" s="9">
        <v>32685</v>
      </c>
      <c r="F67" s="9" t="s">
        <v>191</v>
      </c>
      <c r="G67" s="9" t="s">
        <v>64</v>
      </c>
      <c r="H67" s="8">
        <v>46234</v>
      </c>
      <c r="I67" s="20">
        <v>3600</v>
      </c>
      <c r="J67" s="20">
        <v>3606</v>
      </c>
      <c r="K67" s="20">
        <v>0</v>
      </c>
      <c r="L67" s="6">
        <v>0</v>
      </c>
      <c r="M67" s="5">
        <f t="shared" si="2"/>
        <v>0</v>
      </c>
    </row>
    <row r="68" spans="5:13" x14ac:dyDescent="0.3">
      <c r="E68" s="9">
        <v>32696</v>
      </c>
      <c r="F68" s="9" t="s">
        <v>190</v>
      </c>
      <c r="G68" s="9" t="s">
        <v>2</v>
      </c>
      <c r="H68" s="8">
        <v>46237</v>
      </c>
      <c r="I68" s="20">
        <v>21600</v>
      </c>
      <c r="J68" s="20">
        <v>21600</v>
      </c>
      <c r="K68" s="20">
        <v>0</v>
      </c>
      <c r="L68" s="6">
        <v>0</v>
      </c>
      <c r="M68" s="5">
        <f t="shared" si="2"/>
        <v>0</v>
      </c>
    </row>
    <row r="69" spans="5:13" x14ac:dyDescent="0.3">
      <c r="E69" s="9">
        <v>32736</v>
      </c>
      <c r="F69" s="9" t="s">
        <v>189</v>
      </c>
      <c r="G69" s="9" t="s">
        <v>170</v>
      </c>
      <c r="H69" s="8">
        <v>46234</v>
      </c>
      <c r="I69" s="20">
        <v>15000</v>
      </c>
      <c r="J69" s="20">
        <v>15100</v>
      </c>
      <c r="K69" s="20">
        <v>0</v>
      </c>
      <c r="L69" s="6">
        <v>0</v>
      </c>
      <c r="M69" s="5">
        <f t="shared" si="2"/>
        <v>0</v>
      </c>
    </row>
    <row r="70" spans="5:13" x14ac:dyDescent="0.3">
      <c r="E70" s="9">
        <v>32772</v>
      </c>
      <c r="F70" s="9" t="s">
        <v>188</v>
      </c>
      <c r="G70" s="9" t="s">
        <v>187</v>
      </c>
      <c r="H70" s="8">
        <v>46237</v>
      </c>
      <c r="I70" s="20">
        <v>10400</v>
      </c>
      <c r="J70" s="20">
        <v>10400</v>
      </c>
      <c r="K70" s="20">
        <v>0</v>
      </c>
      <c r="L70" s="6">
        <v>0</v>
      </c>
      <c r="M70" s="5">
        <f t="shared" si="2"/>
        <v>0</v>
      </c>
    </row>
    <row r="71" spans="5:13" x14ac:dyDescent="0.3">
      <c r="E71" s="9">
        <v>32774</v>
      </c>
      <c r="F71" s="9" t="s">
        <v>18</v>
      </c>
      <c r="G71" s="9" t="s">
        <v>12</v>
      </c>
      <c r="H71" s="8">
        <v>46237</v>
      </c>
      <c r="I71" s="20">
        <v>8400</v>
      </c>
      <c r="J71" s="20">
        <v>8600</v>
      </c>
      <c r="K71" s="20">
        <v>0</v>
      </c>
      <c r="L71" s="6">
        <v>0</v>
      </c>
      <c r="M71" s="5">
        <f t="shared" si="2"/>
        <v>0</v>
      </c>
    </row>
    <row r="72" spans="5:13" x14ac:dyDescent="0.3">
      <c r="E72" s="9">
        <v>32775</v>
      </c>
      <c r="F72" s="9" t="s">
        <v>124</v>
      </c>
      <c r="G72" s="9" t="s">
        <v>12</v>
      </c>
      <c r="H72" s="8">
        <v>46237</v>
      </c>
      <c r="I72" s="20">
        <v>5600</v>
      </c>
      <c r="J72" s="20">
        <v>5670</v>
      </c>
      <c r="K72" s="20">
        <v>0</v>
      </c>
      <c r="L72" s="6">
        <v>0</v>
      </c>
      <c r="M72" s="5">
        <f t="shared" si="2"/>
        <v>0</v>
      </c>
    </row>
    <row r="73" spans="5:13" x14ac:dyDescent="0.3">
      <c r="E73" s="9">
        <v>32831</v>
      </c>
      <c r="F73" s="9" t="s">
        <v>186</v>
      </c>
      <c r="G73" s="9" t="s">
        <v>185</v>
      </c>
      <c r="H73" s="8">
        <v>46240</v>
      </c>
      <c r="I73" s="20">
        <v>6000</v>
      </c>
      <c r="J73" s="20">
        <v>6185</v>
      </c>
      <c r="K73" s="20">
        <v>0</v>
      </c>
      <c r="L73" s="6">
        <v>0</v>
      </c>
      <c r="M73" s="5">
        <f t="shared" si="2"/>
        <v>0</v>
      </c>
    </row>
    <row r="74" spans="5:13" x14ac:dyDescent="0.3">
      <c r="E74" s="9">
        <v>32836</v>
      </c>
      <c r="F74" s="9" t="s">
        <v>184</v>
      </c>
      <c r="G74" s="9" t="s">
        <v>12</v>
      </c>
      <c r="H74" s="8">
        <v>46239</v>
      </c>
      <c r="I74" s="20">
        <v>2400</v>
      </c>
      <c r="J74" s="20">
        <v>2412</v>
      </c>
      <c r="K74" s="20">
        <v>0</v>
      </c>
      <c r="L74" s="6">
        <v>0</v>
      </c>
      <c r="M74" s="5">
        <f t="shared" si="2"/>
        <v>0</v>
      </c>
    </row>
    <row r="75" spans="5:13" x14ac:dyDescent="0.3">
      <c r="E75" s="9">
        <v>32854</v>
      </c>
      <c r="F75" s="9" t="s">
        <v>183</v>
      </c>
      <c r="G75" s="9" t="s">
        <v>2</v>
      </c>
      <c r="H75" s="8">
        <v>46240</v>
      </c>
      <c r="I75" s="20">
        <v>1600</v>
      </c>
      <c r="J75" s="20">
        <v>1619</v>
      </c>
      <c r="K75" s="20">
        <v>0</v>
      </c>
      <c r="L75" s="6">
        <v>0</v>
      </c>
      <c r="M75" s="5">
        <f t="shared" si="2"/>
        <v>0</v>
      </c>
    </row>
    <row r="76" spans="5:13" x14ac:dyDescent="0.3">
      <c r="E76" s="9"/>
      <c r="F76" s="9"/>
      <c r="G76" s="9"/>
      <c r="H76" s="8"/>
      <c r="I76" s="20"/>
      <c r="J76" s="20"/>
      <c r="K76" s="20"/>
      <c r="L76" s="6"/>
      <c r="M76" s="5">
        <f t="shared" si="2"/>
        <v>0</v>
      </c>
    </row>
    <row r="77" spans="5:13" x14ac:dyDescent="0.3">
      <c r="E77" s="9"/>
      <c r="F77" s="9"/>
      <c r="G77" s="9"/>
      <c r="H77" s="8"/>
      <c r="I77" s="20"/>
      <c r="J77" s="20"/>
      <c r="K77" s="20"/>
      <c r="L77" s="6"/>
      <c r="M77" s="5"/>
    </row>
    <row r="78" spans="5:13" x14ac:dyDescent="0.3">
      <c r="E78" s="9"/>
      <c r="F78" s="9"/>
      <c r="G78" s="9"/>
      <c r="H78" s="8"/>
      <c r="I78" s="20"/>
      <c r="J78" s="20"/>
      <c r="K78" s="20"/>
      <c r="L78" s="6"/>
      <c r="M78" s="5"/>
    </row>
    <row r="79" spans="5:13" x14ac:dyDescent="0.3">
      <c r="E79" s="9"/>
      <c r="F79" s="9"/>
      <c r="G79" s="9"/>
      <c r="H79" s="8"/>
      <c r="I79" s="20"/>
      <c r="J79" s="20"/>
      <c r="K79" s="20"/>
      <c r="L79" s="6"/>
      <c r="M79" s="5"/>
    </row>
    <row r="80" spans="5:13" x14ac:dyDescent="0.3">
      <c r="E80" s="9"/>
      <c r="F80" s="9"/>
      <c r="G80" s="9"/>
      <c r="H80" s="8"/>
      <c r="I80" s="20"/>
      <c r="J80" s="20"/>
      <c r="K80" s="20"/>
      <c r="L80" s="6"/>
      <c r="M80" s="5"/>
    </row>
    <row r="81" spans="5:13" x14ac:dyDescent="0.3">
      <c r="E81" s="9"/>
      <c r="F81" s="9"/>
      <c r="G81" s="9"/>
      <c r="H81" s="8"/>
      <c r="I81" s="20"/>
      <c r="J81" s="20"/>
      <c r="K81" s="20"/>
      <c r="L81" s="6"/>
      <c r="M81" s="5"/>
    </row>
    <row r="82" spans="5:13" x14ac:dyDescent="0.3">
      <c r="E82" s="9"/>
      <c r="F82" s="9"/>
      <c r="G82" s="9"/>
      <c r="H82" s="8"/>
      <c r="I82" s="20"/>
      <c r="J82" s="20"/>
      <c r="K82" s="20"/>
      <c r="L82" s="6"/>
      <c r="M82" s="5"/>
    </row>
    <row r="83" spans="5:13" x14ac:dyDescent="0.3">
      <c r="E83" s="9"/>
      <c r="F83" s="9"/>
      <c r="G83" s="9"/>
      <c r="H83" s="8"/>
      <c r="I83" s="20"/>
      <c r="J83" s="20"/>
      <c r="K83" s="20"/>
      <c r="L83" s="6"/>
      <c r="M83" s="5"/>
    </row>
    <row r="84" spans="5:13" x14ac:dyDescent="0.3">
      <c r="E84" s="9"/>
      <c r="F84" s="9"/>
      <c r="G84" s="9"/>
      <c r="H84" s="8"/>
      <c r="I84" s="20"/>
      <c r="J84" s="20"/>
      <c r="K84" s="20"/>
      <c r="L84" s="6"/>
      <c r="M84" s="5"/>
    </row>
    <row r="85" spans="5:13" x14ac:dyDescent="0.3">
      <c r="E85" s="9"/>
      <c r="F85" s="9"/>
      <c r="G85" s="9"/>
      <c r="H85" s="8"/>
      <c r="I85" s="20"/>
      <c r="J85" s="20"/>
      <c r="K85" s="20"/>
      <c r="L85" s="6"/>
      <c r="M85" s="5"/>
    </row>
    <row r="86" spans="5:13" x14ac:dyDescent="0.3">
      <c r="E86" s="9"/>
      <c r="F86" s="9"/>
      <c r="G86" s="9"/>
      <c r="H86" s="8"/>
      <c r="I86" s="20"/>
      <c r="J86" s="20"/>
      <c r="K86" s="20"/>
      <c r="L86" s="6"/>
      <c r="M86" s="5"/>
    </row>
    <row r="87" spans="5:13" x14ac:dyDescent="0.3">
      <c r="E87" s="9"/>
      <c r="F87" s="9"/>
      <c r="G87" s="9"/>
      <c r="H87" s="8"/>
      <c r="I87" s="20"/>
      <c r="J87" s="20"/>
      <c r="K87" s="20"/>
      <c r="L87" s="6"/>
      <c r="M87" s="5"/>
    </row>
    <row r="88" spans="5:13" x14ac:dyDescent="0.3">
      <c r="E88" s="9"/>
      <c r="F88" s="9"/>
      <c r="G88" s="9"/>
      <c r="H88" s="8"/>
      <c r="I88" s="20"/>
      <c r="J88" s="20"/>
      <c r="K88" s="20"/>
      <c r="L88" s="6"/>
      <c r="M88" s="5"/>
    </row>
    <row r="89" spans="5:13" x14ac:dyDescent="0.3">
      <c r="E89" s="9"/>
      <c r="F89" s="9"/>
      <c r="G89" s="9"/>
      <c r="H89" s="8"/>
      <c r="I89" s="20"/>
      <c r="J89" s="20"/>
      <c r="K89" s="20"/>
      <c r="L89" s="6"/>
      <c r="M89" s="5"/>
    </row>
    <row r="90" spans="5:13" x14ac:dyDescent="0.3">
      <c r="E90" s="9"/>
      <c r="F90" s="9"/>
      <c r="G90" s="9"/>
      <c r="H90" s="8"/>
      <c r="I90" s="20"/>
      <c r="J90" s="20"/>
      <c r="K90" s="20"/>
      <c r="L90" s="6"/>
      <c r="M90" s="5"/>
    </row>
    <row r="91" spans="5:13" x14ac:dyDescent="0.3">
      <c r="E91" s="9"/>
      <c r="F91" s="9"/>
      <c r="G91" s="9"/>
      <c r="H91" s="8"/>
      <c r="I91" s="20"/>
      <c r="J91" s="20"/>
      <c r="K91" s="20"/>
      <c r="L91" s="6"/>
      <c r="M91" s="5"/>
    </row>
    <row r="92" spans="5:13" x14ac:dyDescent="0.3">
      <c r="E92" s="9"/>
      <c r="F92" s="9"/>
      <c r="G92" s="9"/>
      <c r="H92" s="8"/>
      <c r="I92" s="20"/>
      <c r="J92" s="20"/>
      <c r="K92" s="20"/>
      <c r="L92" s="6"/>
      <c r="M92" s="5"/>
    </row>
    <row r="93" spans="5:13" x14ac:dyDescent="0.3">
      <c r="E93" s="9"/>
      <c r="F93" s="9"/>
      <c r="G93" s="9"/>
      <c r="H93" s="8"/>
      <c r="I93" s="20"/>
      <c r="J93" s="20"/>
      <c r="K93" s="20"/>
      <c r="L93" s="6"/>
      <c r="M93" s="5"/>
    </row>
    <row r="94" spans="5:13" x14ac:dyDescent="0.3">
      <c r="E94" s="9"/>
      <c r="F94" s="9"/>
      <c r="G94" s="9"/>
      <c r="H94" s="8"/>
      <c r="I94" s="20"/>
      <c r="J94" s="20"/>
      <c r="K94" s="20"/>
      <c r="L94" s="6"/>
      <c r="M94" s="5"/>
    </row>
    <row r="95" spans="5:13" x14ac:dyDescent="0.3">
      <c r="E95" s="9"/>
      <c r="F95" s="9"/>
      <c r="G95" s="9"/>
      <c r="H95" s="8"/>
      <c r="I95" s="20"/>
      <c r="J95" s="20"/>
      <c r="K95" s="20"/>
      <c r="L95" s="6"/>
      <c r="M95" s="5"/>
    </row>
    <row r="96" spans="5:13" x14ac:dyDescent="0.3">
      <c r="E96" s="9"/>
      <c r="F96" s="9"/>
      <c r="G96" s="9"/>
      <c r="H96" s="8"/>
      <c r="I96" s="20"/>
      <c r="J96" s="20"/>
      <c r="K96" s="20"/>
      <c r="L96" s="6"/>
      <c r="M96" s="5"/>
    </row>
    <row r="97" spans="5:13" x14ac:dyDescent="0.3">
      <c r="E97" s="9"/>
      <c r="F97" s="9"/>
      <c r="G97" s="9"/>
      <c r="H97" s="8"/>
      <c r="I97" s="20"/>
      <c r="J97" s="20"/>
      <c r="K97" s="20"/>
      <c r="L97" s="6"/>
      <c r="M97" s="5"/>
    </row>
    <row r="98" spans="5:13" x14ac:dyDescent="0.3">
      <c r="H98" s="4"/>
      <c r="L98" s="3"/>
      <c r="M98" s="2"/>
    </row>
    <row r="99" spans="5:13" x14ac:dyDescent="0.3">
      <c r="H99" s="4"/>
      <c r="L99" s="3"/>
      <c r="M99" s="2"/>
    </row>
    <row r="100" spans="5:13" x14ac:dyDescent="0.3">
      <c r="H100" s="4"/>
      <c r="L100" s="3"/>
      <c r="M100" s="2"/>
    </row>
    <row r="101" spans="5:13" x14ac:dyDescent="0.3">
      <c r="H101" s="4"/>
      <c r="L101" s="3"/>
      <c r="M101" s="2"/>
    </row>
    <row r="102" spans="5:13" x14ac:dyDescent="0.3">
      <c r="H102" s="4"/>
      <c r="L102" s="3"/>
      <c r="M102" s="2"/>
    </row>
    <row r="103" spans="5:13" x14ac:dyDescent="0.3">
      <c r="H103" s="4"/>
      <c r="L103" s="3"/>
      <c r="M103" s="2"/>
    </row>
    <row r="104" spans="5:13" x14ac:dyDescent="0.3">
      <c r="H104" s="4"/>
      <c r="L104" s="3"/>
      <c r="M104" s="2"/>
    </row>
    <row r="105" spans="5:13" x14ac:dyDescent="0.3">
      <c r="H105" s="4"/>
      <c r="L105" s="3"/>
      <c r="M105" s="2"/>
    </row>
    <row r="106" spans="5:13" x14ac:dyDescent="0.3">
      <c r="H106" s="4"/>
      <c r="L106" s="3"/>
      <c r="M106" s="2"/>
    </row>
    <row r="107" spans="5:13" x14ac:dyDescent="0.3">
      <c r="H107" s="4"/>
      <c r="L107" s="3"/>
      <c r="M107" s="2"/>
    </row>
    <row r="108" spans="5:13" x14ac:dyDescent="0.3">
      <c r="H108" s="4"/>
      <c r="L108" s="3"/>
      <c r="M108" s="2"/>
    </row>
    <row r="109" spans="5:13" x14ac:dyDescent="0.3">
      <c r="H109" s="4"/>
      <c r="L109" s="3"/>
      <c r="M109" s="2"/>
    </row>
    <row r="110" spans="5:13" x14ac:dyDescent="0.3">
      <c r="H110" s="4"/>
      <c r="L110" s="3"/>
      <c r="M110" s="2"/>
    </row>
    <row r="111" spans="5:13" x14ac:dyDescent="0.3">
      <c r="H111" s="4"/>
      <c r="L111" s="3"/>
      <c r="M111" s="2"/>
    </row>
    <row r="112" spans="5:13" x14ac:dyDescent="0.3">
      <c r="H112" s="4"/>
      <c r="L112" s="3"/>
      <c r="M112" s="2"/>
    </row>
    <row r="113" spans="8:13" x14ac:dyDescent="0.3">
      <c r="H113" s="4"/>
      <c r="L113" s="3"/>
      <c r="M113" s="2"/>
    </row>
    <row r="114" spans="8:13" x14ac:dyDescent="0.3">
      <c r="H114" s="4"/>
      <c r="L114" s="3"/>
      <c r="M114" s="2"/>
    </row>
    <row r="115" spans="8:13" x14ac:dyDescent="0.3">
      <c r="H115" s="4"/>
      <c r="L115" s="3"/>
      <c r="M115" s="2"/>
    </row>
    <row r="116" spans="8:13" x14ac:dyDescent="0.3">
      <c r="H116" s="4"/>
      <c r="L116" s="3"/>
      <c r="M116" s="2"/>
    </row>
    <row r="117" spans="8:13" x14ac:dyDescent="0.3">
      <c r="H117" s="4"/>
      <c r="L117" s="3"/>
      <c r="M117" s="2"/>
    </row>
    <row r="118" spans="8:13" x14ac:dyDescent="0.3">
      <c r="H118" s="4"/>
      <c r="L118" s="3"/>
      <c r="M118" s="2"/>
    </row>
    <row r="119" spans="8:13" x14ac:dyDescent="0.3">
      <c r="H119" s="4"/>
      <c r="L119" s="3"/>
      <c r="M119" s="2"/>
    </row>
    <row r="120" spans="8:13" x14ac:dyDescent="0.3">
      <c r="H120" s="4"/>
      <c r="L120" s="3"/>
      <c r="M120" s="2"/>
    </row>
    <row r="121" spans="8:13" x14ac:dyDescent="0.3">
      <c r="H121" s="4"/>
      <c r="L121" s="3"/>
      <c r="M121" s="2"/>
    </row>
    <row r="122" spans="8:13" x14ac:dyDescent="0.3">
      <c r="H122" s="4"/>
      <c r="L122" s="3"/>
      <c r="M122" s="2"/>
    </row>
    <row r="123" spans="8:13" x14ac:dyDescent="0.3">
      <c r="H123" s="4"/>
      <c r="L123" s="3"/>
      <c r="M123" s="2"/>
    </row>
    <row r="124" spans="8:13" x14ac:dyDescent="0.3">
      <c r="H124" s="4"/>
      <c r="L124" s="3"/>
      <c r="M124" s="2"/>
    </row>
    <row r="125" spans="8:13" x14ac:dyDescent="0.3">
      <c r="H125" s="4"/>
      <c r="L125" s="3"/>
      <c r="M125" s="2"/>
    </row>
    <row r="126" spans="8:13" x14ac:dyDescent="0.3">
      <c r="H126" s="4"/>
      <c r="L126" s="3"/>
      <c r="M126" s="2"/>
    </row>
    <row r="127" spans="8:13" x14ac:dyDescent="0.3">
      <c r="H127" s="4"/>
      <c r="L127" s="3"/>
      <c r="M127" s="2"/>
    </row>
    <row r="128" spans="8:13" x14ac:dyDescent="0.3">
      <c r="H128" s="4"/>
      <c r="L128" s="3"/>
      <c r="M128" s="2"/>
    </row>
    <row r="129" spans="8:13" x14ac:dyDescent="0.3">
      <c r="H129" s="4"/>
      <c r="L129" s="3"/>
      <c r="M129" s="2"/>
    </row>
    <row r="130" spans="8:13" x14ac:dyDescent="0.3">
      <c r="H130" s="4"/>
      <c r="L130" s="3"/>
      <c r="M130" s="2"/>
    </row>
    <row r="131" spans="8:13" x14ac:dyDescent="0.3">
      <c r="H131" s="4"/>
      <c r="L131" s="3"/>
      <c r="M131" s="2"/>
    </row>
    <row r="132" spans="8:13" x14ac:dyDescent="0.3">
      <c r="H132" s="4"/>
      <c r="L132" s="3"/>
      <c r="M132" s="2"/>
    </row>
    <row r="133" spans="8:13" x14ac:dyDescent="0.3">
      <c r="H133" s="4"/>
      <c r="L133" s="3"/>
      <c r="M133" s="2"/>
    </row>
    <row r="134" spans="8:13" x14ac:dyDescent="0.3">
      <c r="H134" s="4"/>
      <c r="L134" s="3"/>
      <c r="M134" s="2"/>
    </row>
    <row r="135" spans="8:13" x14ac:dyDescent="0.3">
      <c r="H135" s="4"/>
      <c r="L135" s="3"/>
      <c r="M135" s="2"/>
    </row>
  </sheetData>
  <autoFilter ref="E1:M1" xr:uid="{0D0BB241-7BB6-49D4-ABD4-6C4D712AAC1D}">
    <sortState xmlns:xlrd2="http://schemas.microsoft.com/office/spreadsheetml/2017/richdata2" ref="E2:M59">
      <sortCondition descending="1" ref="M1"/>
    </sortState>
  </autoFilter>
  <mergeCells count="1">
    <mergeCell ref="A1:B1"/>
  </mergeCells>
  <conditionalFormatting sqref="E1:E1048576">
    <cfRule type="duplicateValues" dxfId="6" priority="1"/>
  </conditionalFormatting>
  <pageMargins left="0.7" right="0.7" top="0.75" bottom="0.75" header="0.3" footer="0.3"/>
  <pageSetup paperSize="9" scale="42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CECF-6B24-4FD5-9B31-A188E89CDFDB}">
  <sheetPr>
    <tabColor rgb="FF002060"/>
    <pageSetUpPr fitToPage="1"/>
  </sheetPr>
  <dimension ref="A1:L129"/>
  <sheetViews>
    <sheetView zoomScaleNormal="100" workbookViewId="0">
      <selection activeCell="E25" sqref="E25"/>
    </sheetView>
  </sheetViews>
  <sheetFormatPr baseColWidth="10" defaultRowHeight="14.4" x14ac:dyDescent="0.3"/>
  <cols>
    <col min="1" max="1" width="23.88671875" bestFit="1" customWidth="1"/>
    <col min="2" max="2" width="11.21875" bestFit="1" customWidth="1"/>
    <col min="3" max="3" width="12.88671875" bestFit="1" customWidth="1"/>
    <col min="4" max="4" width="6" bestFit="1" customWidth="1"/>
    <col min="5" max="5" width="94.88671875" bestFit="1" customWidth="1"/>
    <col min="6" max="6" width="29.33203125" bestFit="1" customWidth="1"/>
    <col min="7" max="7" width="19.33203125" bestFit="1" customWidth="1"/>
    <col min="8" max="8" width="21.33203125" style="1" bestFit="1" customWidth="1"/>
    <col min="9" max="9" width="23.5546875" style="1" bestFit="1" customWidth="1"/>
    <col min="10" max="10" width="13.44140625" style="1" bestFit="1" customWidth="1"/>
    <col min="11" max="11" width="11.6640625" bestFit="1" customWidth="1"/>
    <col min="12" max="12" width="23.21875" bestFit="1" customWidth="1"/>
  </cols>
  <sheetData>
    <row r="1" spans="1:12" x14ac:dyDescent="0.3">
      <c r="A1" s="51" t="s">
        <v>119</v>
      </c>
      <c r="B1" s="51"/>
      <c r="D1" s="23" t="s">
        <v>118</v>
      </c>
      <c r="E1" s="23" t="s">
        <v>117</v>
      </c>
      <c r="F1" s="23" t="s">
        <v>116</v>
      </c>
      <c r="G1" s="23" t="s">
        <v>115</v>
      </c>
      <c r="H1" s="23" t="s">
        <v>114</v>
      </c>
      <c r="I1" s="23" t="s">
        <v>113</v>
      </c>
      <c r="J1" s="23" t="s">
        <v>112</v>
      </c>
      <c r="K1" s="23" t="s">
        <v>111</v>
      </c>
      <c r="L1" s="23" t="s">
        <v>110</v>
      </c>
    </row>
    <row r="2" spans="1:12" x14ac:dyDescent="0.3">
      <c r="A2" s="15" t="s">
        <v>109</v>
      </c>
      <c r="B2" s="8">
        <v>46241</v>
      </c>
      <c r="D2" s="22">
        <v>31900</v>
      </c>
      <c r="E2" s="9" t="s">
        <v>108</v>
      </c>
      <c r="F2" s="9" t="s">
        <v>12</v>
      </c>
      <c r="G2" s="8">
        <v>46241</v>
      </c>
      <c r="H2" s="7">
        <v>50000</v>
      </c>
      <c r="I2" s="7">
        <v>34825</v>
      </c>
      <c r="J2" s="7">
        <v>15175</v>
      </c>
      <c r="K2" s="6">
        <v>0.30399999999999999</v>
      </c>
      <c r="L2" s="12">
        <f t="shared" ref="L2:L33" si="0">J2/$B$8</f>
        <v>0.22753512362616765</v>
      </c>
    </row>
    <row r="3" spans="1:12" x14ac:dyDescent="0.3">
      <c r="A3" s="15" t="s">
        <v>107</v>
      </c>
      <c r="B3" s="8">
        <v>46248</v>
      </c>
      <c r="D3" s="9">
        <v>32494</v>
      </c>
      <c r="E3" s="9" t="s">
        <v>106</v>
      </c>
      <c r="F3" s="9" t="s">
        <v>2</v>
      </c>
      <c r="G3" s="8">
        <v>46246</v>
      </c>
      <c r="H3" s="7">
        <v>30000</v>
      </c>
      <c r="I3" s="7">
        <v>23444</v>
      </c>
      <c r="J3" s="7">
        <v>6556</v>
      </c>
      <c r="K3" s="6">
        <v>0.219</v>
      </c>
      <c r="L3" s="12">
        <f t="shared" si="0"/>
        <v>9.830117103744021E-2</v>
      </c>
    </row>
    <row r="4" spans="1:12" x14ac:dyDescent="0.3">
      <c r="D4" s="22">
        <v>32119</v>
      </c>
      <c r="E4" s="9" t="s">
        <v>97</v>
      </c>
      <c r="F4" s="9" t="s">
        <v>12</v>
      </c>
      <c r="G4" s="8">
        <v>46241</v>
      </c>
      <c r="H4" s="7">
        <v>26000</v>
      </c>
      <c r="I4" s="7">
        <v>19625</v>
      </c>
      <c r="J4" s="7">
        <v>6375</v>
      </c>
      <c r="K4" s="6">
        <v>0.245</v>
      </c>
      <c r="L4" s="12">
        <f t="shared" si="0"/>
        <v>9.5587243038999598E-2</v>
      </c>
    </row>
    <row r="5" spans="1:12" x14ac:dyDescent="0.3">
      <c r="A5" s="15" t="s">
        <v>105</v>
      </c>
      <c r="B5" s="9">
        <f>SUBTOTAL(3,D2:D1048576)</f>
        <v>90</v>
      </c>
      <c r="D5" s="9">
        <v>32569</v>
      </c>
      <c r="E5" s="9" t="s">
        <v>104</v>
      </c>
      <c r="F5" s="9" t="s">
        <v>12</v>
      </c>
      <c r="G5" s="8">
        <v>46248</v>
      </c>
      <c r="H5" s="7">
        <v>16800</v>
      </c>
      <c r="I5" s="7">
        <v>11103</v>
      </c>
      <c r="J5" s="7">
        <v>5697</v>
      </c>
      <c r="K5" s="6">
        <v>0.33900000000000002</v>
      </c>
      <c r="L5" s="12">
        <f t="shared" si="0"/>
        <v>8.5421258602851879E-2</v>
      </c>
    </row>
    <row r="6" spans="1:12" x14ac:dyDescent="0.3">
      <c r="A6" s="15" t="s">
        <v>103</v>
      </c>
      <c r="B6" s="20">
        <f>SUBTOTAL(9,H2:H167)</f>
        <v>768331</v>
      </c>
      <c r="D6" s="9">
        <v>32462</v>
      </c>
      <c r="E6" s="9" t="s">
        <v>102</v>
      </c>
      <c r="F6" s="9" t="s">
        <v>12</v>
      </c>
      <c r="G6" s="8">
        <v>46241</v>
      </c>
      <c r="H6" s="7">
        <v>22000</v>
      </c>
      <c r="I6" s="7">
        <v>18900</v>
      </c>
      <c r="J6" s="7">
        <v>3100</v>
      </c>
      <c r="K6" s="6">
        <v>0.14099999999999999</v>
      </c>
      <c r="L6" s="12">
        <f t="shared" si="0"/>
        <v>4.648163975229784E-2</v>
      </c>
    </row>
    <row r="7" spans="1:12" x14ac:dyDescent="0.3">
      <c r="A7" s="15" t="s">
        <v>101</v>
      </c>
      <c r="B7" s="20">
        <f>SUBTOTAL(9,I2:I167)</f>
        <v>707161</v>
      </c>
      <c r="D7" s="9">
        <v>32519</v>
      </c>
      <c r="E7" s="9" t="s">
        <v>100</v>
      </c>
      <c r="F7" s="9" t="s">
        <v>12</v>
      </c>
      <c r="G7" s="8">
        <v>46246</v>
      </c>
      <c r="H7" s="7">
        <v>22174</v>
      </c>
      <c r="I7" s="7">
        <v>19400</v>
      </c>
      <c r="J7" s="7">
        <v>2774</v>
      </c>
      <c r="K7" s="6">
        <v>0.125</v>
      </c>
      <c r="L7" s="12">
        <f t="shared" si="0"/>
        <v>4.1593570539636845E-2</v>
      </c>
    </row>
    <row r="8" spans="1:12" x14ac:dyDescent="0.3">
      <c r="A8" s="15" t="s">
        <v>99</v>
      </c>
      <c r="B8" s="20">
        <f>SUBTOTAL(9,J2:J167)</f>
        <v>66693</v>
      </c>
      <c r="D8" s="9">
        <v>32474</v>
      </c>
      <c r="E8" s="9" t="s">
        <v>97</v>
      </c>
      <c r="F8" s="9" t="s">
        <v>12</v>
      </c>
      <c r="G8" s="8">
        <v>46245</v>
      </c>
      <c r="H8" s="7">
        <v>24000</v>
      </c>
      <c r="I8" s="7">
        <v>21725</v>
      </c>
      <c r="J8" s="7">
        <v>2275</v>
      </c>
      <c r="K8" s="6">
        <v>9.5000000000000001E-2</v>
      </c>
      <c r="L8" s="12">
        <f t="shared" si="0"/>
        <v>3.4111525947250837E-2</v>
      </c>
    </row>
    <row r="9" spans="1:12" x14ac:dyDescent="0.3">
      <c r="A9" s="15" t="s">
        <v>98</v>
      </c>
      <c r="B9" s="18">
        <f>B8/B6</f>
        <v>8.6802432805652766E-2</v>
      </c>
      <c r="D9" s="9">
        <v>32475</v>
      </c>
      <c r="E9" s="9" t="s">
        <v>97</v>
      </c>
      <c r="F9" s="9" t="s">
        <v>12</v>
      </c>
      <c r="G9" s="8">
        <v>46244</v>
      </c>
      <c r="H9" s="7">
        <v>24000</v>
      </c>
      <c r="I9" s="7">
        <v>21750</v>
      </c>
      <c r="J9" s="7">
        <v>2250</v>
      </c>
      <c r="K9" s="6">
        <v>9.4E-2</v>
      </c>
      <c r="L9" s="12">
        <f t="shared" si="0"/>
        <v>3.373667401376456E-2</v>
      </c>
    </row>
    <row r="10" spans="1:12" x14ac:dyDescent="0.3">
      <c r="A10" s="15" t="s">
        <v>96</v>
      </c>
      <c r="B10" s="9">
        <f>COUNTIF(K:K,"&gt;=5%")</f>
        <v>30</v>
      </c>
      <c r="D10" s="9">
        <v>32928</v>
      </c>
      <c r="E10" s="9" t="s">
        <v>60</v>
      </c>
      <c r="F10" s="9" t="s">
        <v>12</v>
      </c>
      <c r="G10" s="8">
        <v>46247</v>
      </c>
      <c r="H10" s="7">
        <v>1900</v>
      </c>
      <c r="I10" s="7">
        <v>0</v>
      </c>
      <c r="J10" s="7">
        <v>1900</v>
      </c>
      <c r="K10" s="6">
        <v>1</v>
      </c>
      <c r="L10" s="12">
        <f t="shared" si="0"/>
        <v>2.8488746944956744E-2</v>
      </c>
    </row>
    <row r="11" spans="1:12" x14ac:dyDescent="0.3">
      <c r="A11" s="15" t="s">
        <v>95</v>
      </c>
      <c r="B11" s="14">
        <f>B10/B5</f>
        <v>0.33333333333333331</v>
      </c>
      <c r="D11" s="9">
        <v>32755</v>
      </c>
      <c r="E11" s="9" t="s">
        <v>93</v>
      </c>
      <c r="F11" s="9" t="s">
        <v>2</v>
      </c>
      <c r="G11" s="8">
        <v>46244</v>
      </c>
      <c r="H11" s="7">
        <v>8400</v>
      </c>
      <c r="I11" s="7">
        <v>6850</v>
      </c>
      <c r="J11" s="7">
        <v>1550</v>
      </c>
      <c r="K11" s="6">
        <v>0.185</v>
      </c>
      <c r="L11" s="12">
        <f t="shared" si="0"/>
        <v>2.324081987614892E-2</v>
      </c>
    </row>
    <row r="12" spans="1:12" x14ac:dyDescent="0.3">
      <c r="D12" s="9">
        <v>32825</v>
      </c>
      <c r="E12" s="9" t="s">
        <v>82</v>
      </c>
      <c r="F12" s="9" t="s">
        <v>12</v>
      </c>
      <c r="G12" s="8">
        <v>46246</v>
      </c>
      <c r="H12" s="7">
        <v>17600</v>
      </c>
      <c r="I12" s="7">
        <v>16191</v>
      </c>
      <c r="J12" s="7">
        <v>1409</v>
      </c>
      <c r="K12" s="6">
        <v>0.08</v>
      </c>
      <c r="L12" s="12">
        <f t="shared" si="0"/>
        <v>2.1126654971286341E-2</v>
      </c>
    </row>
    <row r="13" spans="1:12" x14ac:dyDescent="0.3">
      <c r="D13" s="9">
        <v>32808</v>
      </c>
      <c r="E13" s="9" t="s">
        <v>94</v>
      </c>
      <c r="F13" s="9" t="s">
        <v>2</v>
      </c>
      <c r="G13" s="8">
        <v>46247</v>
      </c>
      <c r="H13" s="7">
        <v>22400</v>
      </c>
      <c r="I13" s="7">
        <v>21177</v>
      </c>
      <c r="J13" s="7">
        <v>1223</v>
      </c>
      <c r="K13" s="6">
        <v>5.5E-2</v>
      </c>
      <c r="L13" s="12">
        <f t="shared" si="0"/>
        <v>1.833775658614847E-2</v>
      </c>
    </row>
    <row r="14" spans="1:12" x14ac:dyDescent="0.3">
      <c r="A14" s="11" t="s">
        <v>92</v>
      </c>
      <c r="B14" s="13">
        <f>B8-'[1]10-08'!B8</f>
        <v>474</v>
      </c>
      <c r="D14" s="9">
        <v>32753</v>
      </c>
      <c r="E14" s="9" t="s">
        <v>93</v>
      </c>
      <c r="F14" s="9" t="s">
        <v>2</v>
      </c>
      <c r="G14" s="8">
        <v>46244</v>
      </c>
      <c r="H14" s="7">
        <v>9800</v>
      </c>
      <c r="I14" s="7">
        <v>8770</v>
      </c>
      <c r="J14" s="7">
        <v>1030</v>
      </c>
      <c r="K14" s="6">
        <v>0.105</v>
      </c>
      <c r="L14" s="12">
        <f t="shared" si="0"/>
        <v>1.5443899659634445E-2</v>
      </c>
    </row>
    <row r="15" spans="1:12" x14ac:dyDescent="0.3">
      <c r="A15" s="11" t="s">
        <v>92</v>
      </c>
      <c r="B15" s="10">
        <f>B9-'[1]10-08'!B9</f>
        <v>3.8871048832252175E-3</v>
      </c>
      <c r="D15" s="9">
        <v>32734</v>
      </c>
      <c r="E15" s="9" t="s">
        <v>88</v>
      </c>
      <c r="F15" s="9" t="s">
        <v>12</v>
      </c>
      <c r="G15" s="8">
        <v>46247</v>
      </c>
      <c r="H15" s="7">
        <v>14000</v>
      </c>
      <c r="I15" s="7">
        <v>13200</v>
      </c>
      <c r="J15" s="7">
        <v>800</v>
      </c>
      <c r="K15" s="6">
        <v>5.7000000000000002E-2</v>
      </c>
      <c r="L15" s="5">
        <f t="shared" si="0"/>
        <v>1.1995261871560733E-2</v>
      </c>
    </row>
    <row r="16" spans="1:12" x14ac:dyDescent="0.3">
      <c r="D16" s="9">
        <v>32870</v>
      </c>
      <c r="E16" s="9" t="s">
        <v>91</v>
      </c>
      <c r="F16" s="9" t="s">
        <v>30</v>
      </c>
      <c r="G16" s="8">
        <v>46245</v>
      </c>
      <c r="H16" s="7">
        <v>5700</v>
      </c>
      <c r="I16" s="7">
        <v>4978</v>
      </c>
      <c r="J16" s="7">
        <v>722</v>
      </c>
      <c r="K16" s="6">
        <v>0.127</v>
      </c>
      <c r="L16" s="5">
        <f t="shared" si="0"/>
        <v>1.0825723839083562E-2</v>
      </c>
    </row>
    <row r="17" spans="4:12" x14ac:dyDescent="0.3">
      <c r="D17" s="9">
        <v>32197</v>
      </c>
      <c r="E17" s="9" t="s">
        <v>90</v>
      </c>
      <c r="F17" s="9" t="s">
        <v>12</v>
      </c>
      <c r="G17" s="8">
        <v>46245</v>
      </c>
      <c r="H17" s="7">
        <v>6600</v>
      </c>
      <c r="I17" s="7">
        <v>5880</v>
      </c>
      <c r="J17" s="7">
        <v>720</v>
      </c>
      <c r="K17" s="6">
        <v>0.109</v>
      </c>
      <c r="L17" s="5">
        <f t="shared" si="0"/>
        <v>1.079573568440466E-2</v>
      </c>
    </row>
    <row r="18" spans="4:12" x14ac:dyDescent="0.3">
      <c r="D18" s="9">
        <v>32865</v>
      </c>
      <c r="E18" s="9" t="s">
        <v>89</v>
      </c>
      <c r="F18" s="9" t="s">
        <v>30</v>
      </c>
      <c r="G18" s="8">
        <v>46248</v>
      </c>
      <c r="H18" s="7">
        <v>15200</v>
      </c>
      <c r="I18" s="7">
        <v>14487</v>
      </c>
      <c r="J18" s="7">
        <v>713</v>
      </c>
      <c r="K18" s="6">
        <v>4.7E-2</v>
      </c>
      <c r="L18" s="5">
        <f t="shared" si="0"/>
        <v>1.0690777143028504E-2</v>
      </c>
    </row>
    <row r="19" spans="4:12" x14ac:dyDescent="0.3">
      <c r="D19" s="9">
        <v>32732</v>
      </c>
      <c r="E19" s="9" t="s">
        <v>88</v>
      </c>
      <c r="F19" s="9" t="s">
        <v>12</v>
      </c>
      <c r="G19" s="8">
        <v>46248</v>
      </c>
      <c r="H19" s="7">
        <v>18000</v>
      </c>
      <c r="I19" s="7">
        <v>17350</v>
      </c>
      <c r="J19" s="7">
        <v>650</v>
      </c>
      <c r="K19" s="6">
        <v>3.5999999999999997E-2</v>
      </c>
      <c r="L19" s="5">
        <f t="shared" si="0"/>
        <v>9.7461502706430968E-3</v>
      </c>
    </row>
    <row r="20" spans="4:12" x14ac:dyDescent="0.3">
      <c r="D20" s="9">
        <v>32810</v>
      </c>
      <c r="E20" s="9" t="s">
        <v>87</v>
      </c>
      <c r="F20" s="9" t="s">
        <v>22</v>
      </c>
      <c r="G20" s="8">
        <v>46246</v>
      </c>
      <c r="H20" s="7">
        <v>1900</v>
      </c>
      <c r="I20" s="7">
        <v>1281</v>
      </c>
      <c r="J20" s="7">
        <v>619</v>
      </c>
      <c r="K20" s="6">
        <v>0.32600000000000001</v>
      </c>
      <c r="L20" s="5">
        <f t="shared" si="0"/>
        <v>9.2813338731201171E-3</v>
      </c>
    </row>
    <row r="21" spans="4:12" x14ac:dyDescent="0.3">
      <c r="D21" s="9">
        <v>32907</v>
      </c>
      <c r="E21" s="9" t="s">
        <v>86</v>
      </c>
      <c r="F21" s="9" t="s">
        <v>14</v>
      </c>
      <c r="G21" s="8">
        <v>46248</v>
      </c>
      <c r="H21" s="7">
        <v>13300</v>
      </c>
      <c r="I21" s="7">
        <v>12689</v>
      </c>
      <c r="J21" s="7">
        <v>611</v>
      </c>
      <c r="K21" s="6">
        <v>4.5999999999999999E-2</v>
      </c>
      <c r="L21" s="5">
        <f t="shared" si="0"/>
        <v>9.161381254404511E-3</v>
      </c>
    </row>
    <row r="22" spans="4:12" x14ac:dyDescent="0.3">
      <c r="D22" s="9">
        <v>32874</v>
      </c>
      <c r="E22" s="9" t="s">
        <v>85</v>
      </c>
      <c r="F22" s="9" t="s">
        <v>14</v>
      </c>
      <c r="G22" s="8">
        <v>46247</v>
      </c>
      <c r="H22" s="7">
        <v>9500</v>
      </c>
      <c r="I22" s="7">
        <v>8905</v>
      </c>
      <c r="J22" s="7">
        <v>595</v>
      </c>
      <c r="K22" s="6">
        <v>6.3E-2</v>
      </c>
      <c r="L22" s="5">
        <f t="shared" si="0"/>
        <v>8.9214760169732954E-3</v>
      </c>
    </row>
    <row r="23" spans="4:12" x14ac:dyDescent="0.3">
      <c r="D23" s="9">
        <v>32906</v>
      </c>
      <c r="E23" s="9" t="s">
        <v>81</v>
      </c>
      <c r="F23" s="9" t="s">
        <v>14</v>
      </c>
      <c r="G23" s="8">
        <v>46248</v>
      </c>
      <c r="H23" s="7">
        <v>9500</v>
      </c>
      <c r="I23" s="7">
        <v>8915</v>
      </c>
      <c r="J23" s="7">
        <v>585</v>
      </c>
      <c r="K23" s="6">
        <v>6.2E-2</v>
      </c>
      <c r="L23" s="5">
        <f t="shared" si="0"/>
        <v>8.7715352435787861E-3</v>
      </c>
    </row>
    <row r="24" spans="4:12" x14ac:dyDescent="0.3">
      <c r="D24" s="9">
        <v>32735</v>
      </c>
      <c r="E24" s="9" t="s">
        <v>84</v>
      </c>
      <c r="F24" s="9" t="s">
        <v>83</v>
      </c>
      <c r="G24" s="8">
        <v>46248</v>
      </c>
      <c r="H24" s="7">
        <v>6600</v>
      </c>
      <c r="I24" s="7">
        <v>6022</v>
      </c>
      <c r="J24" s="7">
        <v>578</v>
      </c>
      <c r="K24" s="6">
        <v>8.7999999999999995E-2</v>
      </c>
      <c r="L24" s="5">
        <f t="shared" si="0"/>
        <v>8.6665767022026299E-3</v>
      </c>
    </row>
    <row r="25" spans="4:12" x14ac:dyDescent="0.3">
      <c r="D25" s="9">
        <v>32823</v>
      </c>
      <c r="E25" s="9" t="s">
        <v>82</v>
      </c>
      <c r="F25" s="9" t="s">
        <v>12</v>
      </c>
      <c r="G25" s="8">
        <v>46247</v>
      </c>
      <c r="H25" s="7">
        <v>16000</v>
      </c>
      <c r="I25" s="7">
        <v>15480</v>
      </c>
      <c r="J25" s="7">
        <v>520</v>
      </c>
      <c r="K25" s="6">
        <v>3.3000000000000002E-2</v>
      </c>
      <c r="L25" s="5">
        <f t="shared" si="0"/>
        <v>7.7969202165144771E-3</v>
      </c>
    </row>
    <row r="26" spans="4:12" x14ac:dyDescent="0.3">
      <c r="D26" s="9">
        <v>32899</v>
      </c>
      <c r="E26" s="9" t="s">
        <v>81</v>
      </c>
      <c r="F26" s="9" t="s">
        <v>14</v>
      </c>
      <c r="G26" s="8">
        <v>46248</v>
      </c>
      <c r="H26" s="7">
        <v>11400</v>
      </c>
      <c r="I26" s="7">
        <v>10910</v>
      </c>
      <c r="J26" s="7">
        <v>490</v>
      </c>
      <c r="K26" s="6">
        <v>4.2999999999999997E-2</v>
      </c>
      <c r="L26" s="5">
        <f t="shared" si="0"/>
        <v>7.347097896330949E-3</v>
      </c>
    </row>
    <row r="27" spans="4:12" x14ac:dyDescent="0.3">
      <c r="D27" s="9">
        <v>32891</v>
      </c>
      <c r="E27" s="9" t="s">
        <v>80</v>
      </c>
      <c r="F27" s="9" t="s">
        <v>79</v>
      </c>
      <c r="G27" s="8">
        <v>46246</v>
      </c>
      <c r="H27" s="7">
        <v>10500</v>
      </c>
      <c r="I27" s="7">
        <v>10028</v>
      </c>
      <c r="J27" s="7">
        <v>472</v>
      </c>
      <c r="K27" s="6">
        <v>4.4999999999999998E-2</v>
      </c>
      <c r="L27" s="5">
        <f t="shared" si="0"/>
        <v>7.0772045042208328E-3</v>
      </c>
    </row>
    <row r="28" spans="4:12" x14ac:dyDescent="0.3">
      <c r="D28" s="9">
        <v>32936</v>
      </c>
      <c r="E28" s="9" t="s">
        <v>78</v>
      </c>
      <c r="F28" s="9" t="s">
        <v>30</v>
      </c>
      <c r="G28" s="8">
        <v>46248</v>
      </c>
      <c r="H28" s="7">
        <v>5400</v>
      </c>
      <c r="I28" s="7">
        <v>4936</v>
      </c>
      <c r="J28" s="7">
        <v>464</v>
      </c>
      <c r="K28" s="6">
        <v>8.5999999999999993E-2</v>
      </c>
      <c r="L28" s="5">
        <f t="shared" si="0"/>
        <v>6.9572518855052258E-3</v>
      </c>
    </row>
    <row r="29" spans="4:12" x14ac:dyDescent="0.3">
      <c r="D29" s="9">
        <v>32900</v>
      </c>
      <c r="E29" s="9" t="s">
        <v>77</v>
      </c>
      <c r="F29" s="9" t="s">
        <v>14</v>
      </c>
      <c r="G29" s="8">
        <v>46247</v>
      </c>
      <c r="H29" s="7">
        <v>13300</v>
      </c>
      <c r="I29" s="7">
        <v>12852</v>
      </c>
      <c r="J29" s="7">
        <v>448</v>
      </c>
      <c r="K29" s="6">
        <v>3.4000000000000002E-2</v>
      </c>
      <c r="L29" s="5">
        <f t="shared" si="0"/>
        <v>6.717346648074011E-3</v>
      </c>
    </row>
    <row r="30" spans="4:12" x14ac:dyDescent="0.3">
      <c r="D30" s="9">
        <v>32908</v>
      </c>
      <c r="E30" s="9" t="s">
        <v>70</v>
      </c>
      <c r="F30" s="9" t="s">
        <v>14</v>
      </c>
      <c r="G30" s="8">
        <v>46247</v>
      </c>
      <c r="H30" s="7">
        <v>17100</v>
      </c>
      <c r="I30" s="7">
        <v>16667</v>
      </c>
      <c r="J30" s="7">
        <v>433</v>
      </c>
      <c r="K30" s="6">
        <v>2.5000000000000001E-2</v>
      </c>
      <c r="L30" s="5">
        <f t="shared" si="0"/>
        <v>6.492435487982247E-3</v>
      </c>
    </row>
    <row r="31" spans="4:12" x14ac:dyDescent="0.3">
      <c r="D31" s="9">
        <v>32890</v>
      </c>
      <c r="E31" s="9" t="s">
        <v>76</v>
      </c>
      <c r="F31" s="9" t="s">
        <v>30</v>
      </c>
      <c r="G31" s="8">
        <v>46246</v>
      </c>
      <c r="H31" s="7">
        <v>2200</v>
      </c>
      <c r="I31" s="7">
        <v>1794</v>
      </c>
      <c r="J31" s="7">
        <v>406</v>
      </c>
      <c r="K31" s="6">
        <v>0.185</v>
      </c>
      <c r="L31" s="5">
        <f t="shared" si="0"/>
        <v>6.0875953998170721E-3</v>
      </c>
    </row>
    <row r="32" spans="4:12" x14ac:dyDescent="0.3">
      <c r="D32" s="9">
        <v>32898</v>
      </c>
      <c r="E32" s="9" t="s">
        <v>70</v>
      </c>
      <c r="F32" s="9" t="s">
        <v>14</v>
      </c>
      <c r="G32" s="8">
        <v>46246</v>
      </c>
      <c r="H32" s="7">
        <v>17100</v>
      </c>
      <c r="I32" s="7">
        <v>16710</v>
      </c>
      <c r="J32" s="7">
        <v>390</v>
      </c>
      <c r="K32" s="6">
        <v>2.3E-2</v>
      </c>
      <c r="L32" s="5">
        <f t="shared" si="0"/>
        <v>5.8476901623858574E-3</v>
      </c>
    </row>
    <row r="33" spans="4:12" x14ac:dyDescent="0.3">
      <c r="D33" s="9">
        <v>32919</v>
      </c>
      <c r="E33" s="9" t="s">
        <v>75</v>
      </c>
      <c r="F33" s="9" t="s">
        <v>14</v>
      </c>
      <c r="G33" s="8">
        <v>46248</v>
      </c>
      <c r="H33" s="7">
        <v>17100</v>
      </c>
      <c r="I33" s="7">
        <v>16809</v>
      </c>
      <c r="J33" s="7">
        <v>291</v>
      </c>
      <c r="K33" s="6">
        <v>1.7000000000000001E-2</v>
      </c>
      <c r="L33" s="5">
        <f t="shared" si="0"/>
        <v>4.3632765057802165E-3</v>
      </c>
    </row>
    <row r="34" spans="4:12" x14ac:dyDescent="0.3">
      <c r="D34" s="9">
        <v>32875</v>
      </c>
      <c r="E34" s="9" t="s">
        <v>74</v>
      </c>
      <c r="F34" s="9" t="s">
        <v>14</v>
      </c>
      <c r="G34" s="8">
        <v>46247</v>
      </c>
      <c r="H34" s="7">
        <v>9500</v>
      </c>
      <c r="I34" s="7">
        <v>9222</v>
      </c>
      <c r="J34" s="7">
        <v>278</v>
      </c>
      <c r="K34" s="6">
        <v>2.9000000000000001E-2</v>
      </c>
      <c r="L34" s="5">
        <f t="shared" ref="L34:L65" si="1">J34/$B$8</f>
        <v>4.1683535003673548E-3</v>
      </c>
    </row>
    <row r="35" spans="4:12" x14ac:dyDescent="0.3">
      <c r="D35" s="9">
        <v>32866</v>
      </c>
      <c r="E35" s="9" t="s">
        <v>73</v>
      </c>
      <c r="F35" s="9" t="s">
        <v>30</v>
      </c>
      <c r="G35" s="8">
        <v>46245</v>
      </c>
      <c r="H35" s="7">
        <v>5700</v>
      </c>
      <c r="I35" s="7">
        <v>5430</v>
      </c>
      <c r="J35" s="7">
        <v>270</v>
      </c>
      <c r="K35" s="6">
        <v>4.7E-2</v>
      </c>
      <c r="L35" s="5">
        <f t="shared" si="1"/>
        <v>4.0484008816517479E-3</v>
      </c>
    </row>
    <row r="36" spans="4:12" x14ac:dyDescent="0.3">
      <c r="D36" s="9">
        <v>32856</v>
      </c>
      <c r="E36" s="9" t="s">
        <v>72</v>
      </c>
      <c r="F36" s="9" t="s">
        <v>71</v>
      </c>
      <c r="G36" s="8">
        <v>46244</v>
      </c>
      <c r="H36" s="7">
        <v>4500</v>
      </c>
      <c r="I36" s="7">
        <v>4253</v>
      </c>
      <c r="J36" s="7">
        <v>247</v>
      </c>
      <c r="K36" s="6">
        <v>5.5E-2</v>
      </c>
      <c r="L36" s="5">
        <f t="shared" si="1"/>
        <v>3.7035371028443765E-3</v>
      </c>
    </row>
    <row r="37" spans="4:12" x14ac:dyDescent="0.3">
      <c r="D37" s="9">
        <v>32897</v>
      </c>
      <c r="E37" s="9" t="s">
        <v>70</v>
      </c>
      <c r="F37" s="9" t="s">
        <v>14</v>
      </c>
      <c r="G37" s="8">
        <v>46246</v>
      </c>
      <c r="H37" s="7">
        <v>9500</v>
      </c>
      <c r="I37" s="7">
        <v>9274</v>
      </c>
      <c r="J37" s="7">
        <v>226</v>
      </c>
      <c r="K37" s="6">
        <v>2.4E-2</v>
      </c>
      <c r="L37" s="5">
        <f t="shared" si="1"/>
        <v>3.388661478715907E-3</v>
      </c>
    </row>
    <row r="38" spans="4:12" x14ac:dyDescent="0.3">
      <c r="D38" s="9">
        <v>32905</v>
      </c>
      <c r="E38" s="9" t="s">
        <v>69</v>
      </c>
      <c r="F38" s="9" t="s">
        <v>30</v>
      </c>
      <c r="G38" s="8">
        <v>46248</v>
      </c>
      <c r="H38" s="7">
        <v>7600</v>
      </c>
      <c r="I38" s="7">
        <v>7374</v>
      </c>
      <c r="J38" s="7">
        <v>226</v>
      </c>
      <c r="K38" s="6">
        <v>0.03</v>
      </c>
      <c r="L38" s="5">
        <f t="shared" si="1"/>
        <v>3.388661478715907E-3</v>
      </c>
    </row>
    <row r="39" spans="4:12" x14ac:dyDescent="0.3">
      <c r="D39" s="9">
        <v>32868</v>
      </c>
      <c r="E39" s="9" t="s">
        <v>68</v>
      </c>
      <c r="F39" s="9" t="s">
        <v>30</v>
      </c>
      <c r="G39" s="8">
        <v>46245</v>
      </c>
      <c r="H39" s="7">
        <v>9500</v>
      </c>
      <c r="I39" s="7">
        <v>9286</v>
      </c>
      <c r="J39" s="7">
        <v>214</v>
      </c>
      <c r="K39" s="6">
        <v>2.3E-2</v>
      </c>
      <c r="L39" s="5">
        <f t="shared" si="1"/>
        <v>3.2087325506424962E-3</v>
      </c>
    </row>
    <row r="40" spans="4:12" x14ac:dyDescent="0.3">
      <c r="D40" s="9">
        <v>32809</v>
      </c>
      <c r="E40" s="9" t="s">
        <v>67</v>
      </c>
      <c r="F40" s="9" t="s">
        <v>22</v>
      </c>
      <c r="G40" s="8">
        <v>46246</v>
      </c>
      <c r="H40" s="7">
        <v>2200</v>
      </c>
      <c r="I40" s="7">
        <v>1987</v>
      </c>
      <c r="J40" s="7">
        <v>213</v>
      </c>
      <c r="K40" s="6">
        <v>9.7000000000000003E-2</v>
      </c>
      <c r="L40" s="5">
        <f t="shared" si="1"/>
        <v>3.1937384733030454E-3</v>
      </c>
    </row>
    <row r="41" spans="4:12" x14ac:dyDescent="0.3">
      <c r="D41" s="9">
        <v>32817</v>
      </c>
      <c r="E41" s="9" t="s">
        <v>66</v>
      </c>
      <c r="F41" s="9" t="s">
        <v>45</v>
      </c>
      <c r="G41" s="8">
        <v>46248</v>
      </c>
      <c r="H41" s="7">
        <v>1600</v>
      </c>
      <c r="I41" s="7">
        <v>1388</v>
      </c>
      <c r="J41" s="7">
        <v>212</v>
      </c>
      <c r="K41" s="6">
        <v>0.13300000000000001</v>
      </c>
      <c r="L41" s="5">
        <f t="shared" si="1"/>
        <v>3.1787443959635942E-3</v>
      </c>
    </row>
    <row r="42" spans="4:12" x14ac:dyDescent="0.3">
      <c r="D42" s="9">
        <v>32814</v>
      </c>
      <c r="E42" s="9" t="s">
        <v>65</v>
      </c>
      <c r="F42" s="9" t="s">
        <v>64</v>
      </c>
      <c r="G42" s="8">
        <v>46241</v>
      </c>
      <c r="H42" s="7">
        <v>5400</v>
      </c>
      <c r="I42" s="7">
        <v>5190</v>
      </c>
      <c r="J42" s="7">
        <v>210</v>
      </c>
      <c r="K42" s="6">
        <v>3.9E-2</v>
      </c>
      <c r="L42" s="5">
        <f t="shared" si="1"/>
        <v>3.1487562412846927E-3</v>
      </c>
    </row>
    <row r="43" spans="4:12" x14ac:dyDescent="0.3">
      <c r="D43" s="9">
        <v>32873</v>
      </c>
      <c r="E43" s="9" t="s">
        <v>63</v>
      </c>
      <c r="F43" s="9" t="s">
        <v>14</v>
      </c>
      <c r="G43" s="8">
        <v>46247</v>
      </c>
      <c r="H43" s="7">
        <v>1900</v>
      </c>
      <c r="I43" s="7">
        <v>1692</v>
      </c>
      <c r="J43" s="7">
        <v>208</v>
      </c>
      <c r="K43" s="6">
        <v>0.109</v>
      </c>
      <c r="L43" s="5">
        <f t="shared" si="1"/>
        <v>3.1187680866057907E-3</v>
      </c>
    </row>
    <row r="44" spans="4:12" x14ac:dyDescent="0.3">
      <c r="D44" s="9">
        <v>32888</v>
      </c>
      <c r="E44" s="9" t="s">
        <v>57</v>
      </c>
      <c r="F44" s="9" t="s">
        <v>53</v>
      </c>
      <c r="G44" s="8">
        <v>46245</v>
      </c>
      <c r="H44" s="7">
        <v>7200</v>
      </c>
      <c r="I44" s="7">
        <v>7007</v>
      </c>
      <c r="J44" s="7">
        <v>193</v>
      </c>
      <c r="K44" s="6">
        <v>2.7E-2</v>
      </c>
      <c r="L44" s="5">
        <f t="shared" si="1"/>
        <v>2.8938569265140272E-3</v>
      </c>
    </row>
    <row r="45" spans="4:12" x14ac:dyDescent="0.3">
      <c r="D45" s="9">
        <v>32857</v>
      </c>
      <c r="E45" s="9" t="s">
        <v>62</v>
      </c>
      <c r="F45" s="9" t="s">
        <v>61</v>
      </c>
      <c r="G45" s="8">
        <v>46241</v>
      </c>
      <c r="H45" s="7">
        <v>7600</v>
      </c>
      <c r="I45" s="7">
        <v>7418</v>
      </c>
      <c r="J45" s="7">
        <v>182</v>
      </c>
      <c r="K45" s="6">
        <v>2.4E-2</v>
      </c>
      <c r="L45" s="5">
        <f t="shared" si="1"/>
        <v>2.7289220757800671E-3</v>
      </c>
    </row>
    <row r="46" spans="4:12" x14ac:dyDescent="0.3">
      <c r="D46" s="9">
        <v>32924</v>
      </c>
      <c r="E46" s="9" t="s">
        <v>60</v>
      </c>
      <c r="F46" s="9" t="s">
        <v>59</v>
      </c>
      <c r="G46" s="8">
        <v>46248</v>
      </c>
      <c r="H46" s="7">
        <v>7600</v>
      </c>
      <c r="I46" s="7">
        <v>7425</v>
      </c>
      <c r="J46" s="7">
        <v>175</v>
      </c>
      <c r="K46" s="6">
        <v>2.3E-2</v>
      </c>
      <c r="L46" s="5">
        <f t="shared" si="1"/>
        <v>2.6239635344039104E-3</v>
      </c>
    </row>
    <row r="47" spans="4:12" x14ac:dyDescent="0.3">
      <c r="D47" s="9">
        <v>32867</v>
      </c>
      <c r="E47" s="9" t="s">
        <v>58</v>
      </c>
      <c r="F47" s="9" t="s">
        <v>30</v>
      </c>
      <c r="G47" s="8">
        <v>46245</v>
      </c>
      <c r="H47" s="7">
        <v>5700</v>
      </c>
      <c r="I47" s="7">
        <v>5526</v>
      </c>
      <c r="J47" s="7">
        <v>174</v>
      </c>
      <c r="K47" s="6">
        <v>3.1E-2</v>
      </c>
      <c r="L47" s="5">
        <f t="shared" si="1"/>
        <v>2.6089694570644597E-3</v>
      </c>
    </row>
    <row r="48" spans="4:12" x14ac:dyDescent="0.3">
      <c r="D48" s="9">
        <v>32896</v>
      </c>
      <c r="E48" s="9" t="s">
        <v>57</v>
      </c>
      <c r="F48" s="9" t="s">
        <v>53</v>
      </c>
      <c r="G48" s="8">
        <v>46245</v>
      </c>
      <c r="H48" s="7">
        <v>3040</v>
      </c>
      <c r="I48" s="7">
        <v>2870</v>
      </c>
      <c r="J48" s="7">
        <v>170</v>
      </c>
      <c r="K48" s="6">
        <v>5.6000000000000001E-2</v>
      </c>
      <c r="L48" s="5">
        <f t="shared" si="1"/>
        <v>2.5489931477066558E-3</v>
      </c>
    </row>
    <row r="49" spans="4:12" x14ac:dyDescent="0.3">
      <c r="D49" s="9">
        <v>32871</v>
      </c>
      <c r="E49" s="9" t="s">
        <v>56</v>
      </c>
      <c r="F49" s="9" t="s">
        <v>14</v>
      </c>
      <c r="G49" s="8">
        <v>46246</v>
      </c>
      <c r="H49" s="7">
        <v>1900</v>
      </c>
      <c r="I49" s="7">
        <v>1735</v>
      </c>
      <c r="J49" s="7">
        <v>165</v>
      </c>
      <c r="K49" s="6">
        <v>8.6999999999999994E-2</v>
      </c>
      <c r="L49" s="5">
        <f t="shared" si="1"/>
        <v>2.4740227610094011E-3</v>
      </c>
    </row>
    <row r="50" spans="4:12" x14ac:dyDescent="0.3">
      <c r="D50" s="9">
        <v>32816</v>
      </c>
      <c r="E50" s="9" t="s">
        <v>55</v>
      </c>
      <c r="F50" s="9" t="s">
        <v>45</v>
      </c>
      <c r="G50" s="8">
        <v>46247</v>
      </c>
      <c r="H50" s="7">
        <v>2800</v>
      </c>
      <c r="I50" s="7">
        <v>2648</v>
      </c>
      <c r="J50" s="7">
        <v>152</v>
      </c>
      <c r="K50" s="6">
        <v>5.3999999999999999E-2</v>
      </c>
      <c r="L50" s="5">
        <f t="shared" si="1"/>
        <v>2.2790997555965395E-3</v>
      </c>
    </row>
    <row r="51" spans="4:12" x14ac:dyDescent="0.3">
      <c r="D51" s="9">
        <v>32887</v>
      </c>
      <c r="E51" s="9" t="s">
        <v>54</v>
      </c>
      <c r="F51" s="9" t="s">
        <v>53</v>
      </c>
      <c r="G51" s="8">
        <v>46245</v>
      </c>
      <c r="H51" s="7">
        <v>6000</v>
      </c>
      <c r="I51" s="7">
        <v>5871</v>
      </c>
      <c r="J51" s="7">
        <v>129</v>
      </c>
      <c r="K51" s="6">
        <v>2.1999999999999999E-2</v>
      </c>
      <c r="L51" s="5">
        <f t="shared" si="1"/>
        <v>1.9342359767891683E-3</v>
      </c>
    </row>
    <row r="52" spans="4:12" x14ac:dyDescent="0.3">
      <c r="D52" s="9">
        <v>32812</v>
      </c>
      <c r="E52" s="9" t="s">
        <v>52</v>
      </c>
      <c r="F52" s="9" t="s">
        <v>22</v>
      </c>
      <c r="G52" s="8">
        <v>46246</v>
      </c>
      <c r="H52" s="7">
        <v>4000</v>
      </c>
      <c r="I52" s="7">
        <v>3887</v>
      </c>
      <c r="J52" s="7">
        <v>113</v>
      </c>
      <c r="K52" s="6">
        <v>2.8000000000000001E-2</v>
      </c>
      <c r="L52" s="5">
        <f t="shared" si="1"/>
        <v>1.6943307393579535E-3</v>
      </c>
    </row>
    <row r="53" spans="4:12" x14ac:dyDescent="0.3">
      <c r="D53" s="9">
        <v>32819</v>
      </c>
      <c r="E53" s="9" t="s">
        <v>51</v>
      </c>
      <c r="F53" s="9" t="s">
        <v>50</v>
      </c>
      <c r="G53" s="8">
        <v>46247</v>
      </c>
      <c r="H53" s="7">
        <v>3600</v>
      </c>
      <c r="I53" s="7">
        <v>3487</v>
      </c>
      <c r="J53" s="7">
        <v>113</v>
      </c>
      <c r="K53" s="6">
        <v>3.1E-2</v>
      </c>
      <c r="L53" s="5">
        <f t="shared" si="1"/>
        <v>1.6943307393579535E-3</v>
      </c>
    </row>
    <row r="54" spans="4:12" x14ac:dyDescent="0.3">
      <c r="D54" s="9">
        <v>32872</v>
      </c>
      <c r="E54" s="9" t="s">
        <v>49</v>
      </c>
      <c r="F54" s="9" t="s">
        <v>14</v>
      </c>
      <c r="G54" s="8">
        <v>46247</v>
      </c>
      <c r="H54" s="7">
        <v>1900</v>
      </c>
      <c r="I54" s="7">
        <v>1790</v>
      </c>
      <c r="J54" s="7">
        <v>110</v>
      </c>
      <c r="K54" s="6">
        <v>5.8000000000000003E-2</v>
      </c>
      <c r="L54" s="5">
        <f t="shared" si="1"/>
        <v>1.6493485073396008E-3</v>
      </c>
    </row>
    <row r="55" spans="4:12" x14ac:dyDescent="0.3">
      <c r="D55" s="9">
        <v>32869</v>
      </c>
      <c r="E55" s="9" t="s">
        <v>48</v>
      </c>
      <c r="F55" s="9" t="s">
        <v>30</v>
      </c>
      <c r="G55" s="8">
        <v>46245</v>
      </c>
      <c r="H55" s="7">
        <v>3800</v>
      </c>
      <c r="I55" s="7">
        <v>3697</v>
      </c>
      <c r="J55" s="7">
        <v>103</v>
      </c>
      <c r="K55" s="6">
        <v>2.7E-2</v>
      </c>
      <c r="L55" s="5">
        <f t="shared" si="1"/>
        <v>1.5443899659634444E-3</v>
      </c>
    </row>
    <row r="56" spans="4:12" x14ac:dyDescent="0.3">
      <c r="D56" s="9">
        <v>32902</v>
      </c>
      <c r="E56" s="9" t="s">
        <v>47</v>
      </c>
      <c r="F56" s="9" t="s">
        <v>30</v>
      </c>
      <c r="G56" s="8">
        <v>46247</v>
      </c>
      <c r="H56" s="7">
        <v>5700</v>
      </c>
      <c r="I56" s="7">
        <v>5597</v>
      </c>
      <c r="J56" s="7">
        <v>103</v>
      </c>
      <c r="K56" s="6">
        <v>1.7999999999999999E-2</v>
      </c>
      <c r="L56" s="5">
        <f t="shared" si="1"/>
        <v>1.5443899659634444E-3</v>
      </c>
    </row>
    <row r="57" spans="4:12" x14ac:dyDescent="0.3">
      <c r="D57" s="9">
        <v>32813</v>
      </c>
      <c r="E57" s="9" t="s">
        <v>46</v>
      </c>
      <c r="F57" s="9" t="s">
        <v>45</v>
      </c>
      <c r="G57" s="8">
        <v>46241</v>
      </c>
      <c r="H57" s="7">
        <v>2100</v>
      </c>
      <c r="I57" s="7">
        <v>2013</v>
      </c>
      <c r="J57" s="7">
        <v>87</v>
      </c>
      <c r="K57" s="6">
        <v>4.1000000000000002E-2</v>
      </c>
      <c r="L57" s="5">
        <f t="shared" si="1"/>
        <v>1.3044847285322298E-3</v>
      </c>
    </row>
    <row r="58" spans="4:12" x14ac:dyDescent="0.3">
      <c r="D58" s="9">
        <v>32915</v>
      </c>
      <c r="E58" s="9" t="s">
        <v>44</v>
      </c>
      <c r="F58" s="9" t="s">
        <v>36</v>
      </c>
      <c r="G58" s="8">
        <v>46248</v>
      </c>
      <c r="H58" s="7">
        <v>3800</v>
      </c>
      <c r="I58" s="7">
        <v>3717</v>
      </c>
      <c r="J58" s="7">
        <v>83</v>
      </c>
      <c r="K58" s="6">
        <v>2.1999999999999999E-2</v>
      </c>
      <c r="L58" s="5">
        <f t="shared" si="1"/>
        <v>1.2445084191744261E-3</v>
      </c>
    </row>
    <row r="59" spans="4:12" x14ac:dyDescent="0.3">
      <c r="D59" s="9">
        <v>32903</v>
      </c>
      <c r="E59" s="9" t="s">
        <v>31</v>
      </c>
      <c r="F59" s="9" t="s">
        <v>30</v>
      </c>
      <c r="G59" s="8">
        <v>46247</v>
      </c>
      <c r="H59" s="7">
        <v>1900</v>
      </c>
      <c r="I59" s="7">
        <v>1824</v>
      </c>
      <c r="J59" s="7">
        <v>76</v>
      </c>
      <c r="K59" s="6">
        <v>0.04</v>
      </c>
      <c r="L59" s="5">
        <f t="shared" si="1"/>
        <v>1.1395498777982697E-3</v>
      </c>
    </row>
    <row r="60" spans="4:12" x14ac:dyDescent="0.3">
      <c r="D60" s="9">
        <v>32864</v>
      </c>
      <c r="E60" s="9" t="s">
        <v>43</v>
      </c>
      <c r="F60" s="9" t="s">
        <v>30</v>
      </c>
      <c r="G60" s="8">
        <v>46247</v>
      </c>
      <c r="H60" s="7">
        <v>3800</v>
      </c>
      <c r="I60" s="7">
        <v>3728</v>
      </c>
      <c r="J60" s="7">
        <v>72</v>
      </c>
      <c r="K60" s="6">
        <v>1.9E-2</v>
      </c>
      <c r="L60" s="5">
        <f t="shared" si="1"/>
        <v>1.079573568440466E-3</v>
      </c>
    </row>
    <row r="61" spans="4:12" x14ac:dyDescent="0.3">
      <c r="D61" s="9">
        <v>32877</v>
      </c>
      <c r="E61" s="9" t="s">
        <v>42</v>
      </c>
      <c r="F61" s="9" t="s">
        <v>12</v>
      </c>
      <c r="G61" s="8">
        <v>46246</v>
      </c>
      <c r="H61" s="7">
        <v>4963</v>
      </c>
      <c r="I61" s="7">
        <v>4900</v>
      </c>
      <c r="J61" s="7">
        <v>63</v>
      </c>
      <c r="K61" s="6">
        <v>1.2999999999999999E-2</v>
      </c>
      <c r="L61" s="5">
        <f t="shared" si="1"/>
        <v>9.4462687238540779E-4</v>
      </c>
    </row>
    <row r="62" spans="4:12" x14ac:dyDescent="0.3">
      <c r="D62" s="9">
        <v>32894</v>
      </c>
      <c r="E62" s="9" t="s">
        <v>41</v>
      </c>
      <c r="F62" s="9" t="s">
        <v>10</v>
      </c>
      <c r="G62" s="8">
        <v>46244</v>
      </c>
      <c r="H62" s="7">
        <v>3150</v>
      </c>
      <c r="I62" s="7">
        <v>3090</v>
      </c>
      <c r="J62" s="7">
        <v>60</v>
      </c>
      <c r="K62" s="6">
        <v>1.9E-2</v>
      </c>
      <c r="L62" s="5">
        <f t="shared" si="1"/>
        <v>8.9964464036705496E-4</v>
      </c>
    </row>
    <row r="63" spans="4:12" x14ac:dyDescent="0.3">
      <c r="D63" s="9">
        <v>32901</v>
      </c>
      <c r="E63" s="9" t="s">
        <v>40</v>
      </c>
      <c r="F63" s="9" t="s">
        <v>30</v>
      </c>
      <c r="G63" s="8">
        <v>46247</v>
      </c>
      <c r="H63" s="7">
        <v>5700</v>
      </c>
      <c r="I63" s="7">
        <v>5641</v>
      </c>
      <c r="J63" s="7">
        <v>59</v>
      </c>
      <c r="K63" s="6">
        <v>0.01</v>
      </c>
      <c r="L63" s="5">
        <f t="shared" si="1"/>
        <v>8.8465056302760409E-4</v>
      </c>
    </row>
    <row r="64" spans="4:12" x14ac:dyDescent="0.3">
      <c r="D64" s="9">
        <v>32855</v>
      </c>
      <c r="E64" s="9" t="s">
        <v>39</v>
      </c>
      <c r="F64" s="9" t="s">
        <v>24</v>
      </c>
      <c r="G64" s="8">
        <v>46241</v>
      </c>
      <c r="H64" s="7">
        <v>1200</v>
      </c>
      <c r="I64" s="7">
        <v>1150</v>
      </c>
      <c r="J64" s="7">
        <v>50</v>
      </c>
      <c r="K64" s="6">
        <v>4.2000000000000003E-2</v>
      </c>
      <c r="L64" s="5">
        <f t="shared" si="1"/>
        <v>7.4970386697254584E-4</v>
      </c>
    </row>
    <row r="65" spans="4:12" x14ac:dyDescent="0.3">
      <c r="D65" s="9">
        <v>32914</v>
      </c>
      <c r="E65" s="9" t="s">
        <v>38</v>
      </c>
      <c r="F65" s="9" t="s">
        <v>36</v>
      </c>
      <c r="G65" s="8">
        <v>46248</v>
      </c>
      <c r="H65" s="7">
        <v>1900</v>
      </c>
      <c r="I65" s="7">
        <v>1865</v>
      </c>
      <c r="J65" s="7">
        <v>35</v>
      </c>
      <c r="K65" s="6">
        <v>1.7999999999999999E-2</v>
      </c>
      <c r="L65" s="5">
        <f t="shared" si="1"/>
        <v>5.2479270688078204E-4</v>
      </c>
    </row>
    <row r="66" spans="4:12" x14ac:dyDescent="0.3">
      <c r="D66" s="9">
        <v>32917</v>
      </c>
      <c r="E66" s="9" t="s">
        <v>37</v>
      </c>
      <c r="F66" s="9" t="s">
        <v>36</v>
      </c>
      <c r="G66" s="8">
        <v>46248</v>
      </c>
      <c r="H66" s="7">
        <v>2200</v>
      </c>
      <c r="I66" s="7">
        <v>2166</v>
      </c>
      <c r="J66" s="7">
        <v>34</v>
      </c>
      <c r="K66" s="6">
        <v>1.4999999999999999E-2</v>
      </c>
      <c r="L66" s="5">
        <f t="shared" ref="L66:L91" si="2">J66/$B$8</f>
        <v>5.0979862954133117E-4</v>
      </c>
    </row>
    <row r="67" spans="4:12" x14ac:dyDescent="0.3">
      <c r="D67" s="9">
        <v>32892</v>
      </c>
      <c r="E67" s="9" t="s">
        <v>35</v>
      </c>
      <c r="F67" s="9" t="s">
        <v>30</v>
      </c>
      <c r="G67" s="8">
        <v>46247</v>
      </c>
      <c r="H67" s="7">
        <v>1900</v>
      </c>
      <c r="I67" s="7">
        <v>1872</v>
      </c>
      <c r="J67" s="7">
        <v>28</v>
      </c>
      <c r="K67" s="6">
        <v>1.4999999999999999E-2</v>
      </c>
      <c r="L67" s="5">
        <f t="shared" si="2"/>
        <v>4.1983416550462569E-4</v>
      </c>
    </row>
    <row r="68" spans="4:12" x14ac:dyDescent="0.3">
      <c r="D68" s="9">
        <v>32893</v>
      </c>
      <c r="E68" s="9" t="s">
        <v>34</v>
      </c>
      <c r="F68" s="9" t="s">
        <v>33</v>
      </c>
      <c r="G68" s="8">
        <v>46245</v>
      </c>
      <c r="H68" s="7">
        <v>600</v>
      </c>
      <c r="I68" s="7">
        <v>579</v>
      </c>
      <c r="J68" s="7">
        <v>21</v>
      </c>
      <c r="K68" s="6">
        <v>3.5000000000000003E-2</v>
      </c>
      <c r="L68" s="5">
        <f t="shared" si="2"/>
        <v>3.1487562412846928E-4</v>
      </c>
    </row>
    <row r="69" spans="4:12" x14ac:dyDescent="0.3">
      <c r="D69" s="9">
        <v>32881</v>
      </c>
      <c r="E69" s="9" t="s">
        <v>32</v>
      </c>
      <c r="F69" s="9" t="s">
        <v>12</v>
      </c>
      <c r="G69" s="8">
        <v>46244</v>
      </c>
      <c r="H69" s="7">
        <v>5600</v>
      </c>
      <c r="I69" s="7">
        <v>5585</v>
      </c>
      <c r="J69" s="7">
        <v>15</v>
      </c>
      <c r="K69" s="6">
        <v>3.0000000000000001E-3</v>
      </c>
      <c r="L69" s="5">
        <f t="shared" si="2"/>
        <v>2.2491116009176374E-4</v>
      </c>
    </row>
    <row r="70" spans="4:12" x14ac:dyDescent="0.3">
      <c r="D70" s="9">
        <v>32904</v>
      </c>
      <c r="E70" s="9" t="s">
        <v>31</v>
      </c>
      <c r="F70" s="9" t="s">
        <v>30</v>
      </c>
      <c r="G70" s="8">
        <v>46247</v>
      </c>
      <c r="H70" s="7">
        <v>1900</v>
      </c>
      <c r="I70" s="7">
        <v>1897</v>
      </c>
      <c r="J70" s="7">
        <v>3</v>
      </c>
      <c r="K70" s="6">
        <v>2E-3</v>
      </c>
      <c r="L70" s="5">
        <f t="shared" si="2"/>
        <v>4.498223201835275E-5</v>
      </c>
    </row>
    <row r="71" spans="4:12" x14ac:dyDescent="0.3">
      <c r="D71" s="9">
        <v>32601</v>
      </c>
      <c r="E71" s="9" t="s">
        <v>29</v>
      </c>
      <c r="F71" s="9" t="s">
        <v>28</v>
      </c>
      <c r="G71" s="8">
        <v>46244</v>
      </c>
      <c r="H71" s="7">
        <v>4200</v>
      </c>
      <c r="I71" s="7">
        <v>4200</v>
      </c>
      <c r="J71" s="7">
        <v>0</v>
      </c>
      <c r="K71" s="6">
        <v>0</v>
      </c>
      <c r="L71" s="5">
        <f t="shared" si="2"/>
        <v>0</v>
      </c>
    </row>
    <row r="72" spans="4:12" x14ac:dyDescent="0.3">
      <c r="D72" s="9">
        <v>32769</v>
      </c>
      <c r="E72" s="9" t="s">
        <v>27</v>
      </c>
      <c r="F72" s="9" t="s">
        <v>26</v>
      </c>
      <c r="G72" s="8">
        <v>46246</v>
      </c>
      <c r="H72" s="7">
        <v>4800</v>
      </c>
      <c r="I72" s="7">
        <v>4800</v>
      </c>
      <c r="J72" s="7">
        <v>0</v>
      </c>
      <c r="K72" s="6">
        <v>0</v>
      </c>
      <c r="L72" s="5">
        <f t="shared" si="2"/>
        <v>0</v>
      </c>
    </row>
    <row r="73" spans="4:12" x14ac:dyDescent="0.3">
      <c r="D73" s="9">
        <v>32850</v>
      </c>
      <c r="E73" s="9" t="s">
        <v>25</v>
      </c>
      <c r="F73" s="9" t="s">
        <v>24</v>
      </c>
      <c r="G73" s="8">
        <v>46244</v>
      </c>
      <c r="H73" s="7">
        <v>15200</v>
      </c>
      <c r="I73" s="7">
        <v>15200</v>
      </c>
      <c r="J73" s="7">
        <v>0</v>
      </c>
      <c r="K73" s="6">
        <v>0</v>
      </c>
      <c r="L73" s="5">
        <f t="shared" si="2"/>
        <v>0</v>
      </c>
    </row>
    <row r="74" spans="4:12" x14ac:dyDescent="0.3">
      <c r="D74" s="9">
        <v>32851</v>
      </c>
      <c r="E74" s="9" t="s">
        <v>23</v>
      </c>
      <c r="F74" s="9" t="s">
        <v>22</v>
      </c>
      <c r="G74" s="8">
        <v>46244</v>
      </c>
      <c r="H74" s="7">
        <v>2000</v>
      </c>
      <c r="I74" s="7">
        <v>2000</v>
      </c>
      <c r="J74" s="7">
        <v>0</v>
      </c>
      <c r="K74" s="6">
        <v>0</v>
      </c>
      <c r="L74" s="5">
        <f t="shared" si="2"/>
        <v>0</v>
      </c>
    </row>
    <row r="75" spans="4:12" x14ac:dyDescent="0.3">
      <c r="D75" s="9">
        <v>32852</v>
      </c>
      <c r="E75" s="9" t="s">
        <v>21</v>
      </c>
      <c r="F75" s="9" t="s">
        <v>20</v>
      </c>
      <c r="G75" s="8">
        <v>46244</v>
      </c>
      <c r="H75" s="7">
        <v>3150</v>
      </c>
      <c r="I75" s="7">
        <v>3150</v>
      </c>
      <c r="J75" s="7">
        <v>0</v>
      </c>
      <c r="K75" s="6">
        <v>0</v>
      </c>
      <c r="L75" s="5">
        <f t="shared" si="2"/>
        <v>0</v>
      </c>
    </row>
    <row r="76" spans="4:12" x14ac:dyDescent="0.3">
      <c r="D76" s="9">
        <v>32853</v>
      </c>
      <c r="E76" s="9" t="s">
        <v>16</v>
      </c>
      <c r="F76" s="9" t="s">
        <v>2</v>
      </c>
      <c r="G76" s="8">
        <v>46244</v>
      </c>
      <c r="H76" s="7">
        <v>13696</v>
      </c>
      <c r="I76" s="7">
        <v>14430</v>
      </c>
      <c r="J76" s="7">
        <v>0</v>
      </c>
      <c r="K76" s="6">
        <v>0</v>
      </c>
      <c r="L76" s="5">
        <f t="shared" si="2"/>
        <v>0</v>
      </c>
    </row>
    <row r="77" spans="4:12" x14ac:dyDescent="0.3">
      <c r="D77" s="9">
        <v>32878</v>
      </c>
      <c r="E77" s="9" t="s">
        <v>19</v>
      </c>
      <c r="F77" s="9" t="s">
        <v>12</v>
      </c>
      <c r="G77" s="8">
        <v>46245</v>
      </c>
      <c r="H77" s="7">
        <v>4000</v>
      </c>
      <c r="I77" s="7">
        <v>4020</v>
      </c>
      <c r="J77" s="7">
        <v>0</v>
      </c>
      <c r="K77" s="6">
        <v>0</v>
      </c>
      <c r="L77" s="5">
        <f t="shared" si="2"/>
        <v>0</v>
      </c>
    </row>
    <row r="78" spans="4:12" x14ac:dyDescent="0.3">
      <c r="D78" s="9">
        <v>32879</v>
      </c>
      <c r="E78" s="9" t="s">
        <v>4</v>
      </c>
      <c r="F78" s="9" t="s">
        <v>12</v>
      </c>
      <c r="G78" s="8">
        <v>46246</v>
      </c>
      <c r="H78" s="7">
        <v>10000</v>
      </c>
      <c r="I78" s="7">
        <v>10200</v>
      </c>
      <c r="J78" s="7">
        <v>0</v>
      </c>
      <c r="K78" s="6">
        <v>0</v>
      </c>
      <c r="L78" s="5">
        <f t="shared" si="2"/>
        <v>0</v>
      </c>
    </row>
    <row r="79" spans="4:12" x14ac:dyDescent="0.3">
      <c r="D79" s="9">
        <v>32880</v>
      </c>
      <c r="E79" s="9" t="s">
        <v>13</v>
      </c>
      <c r="F79" s="9" t="s">
        <v>12</v>
      </c>
      <c r="G79" s="8">
        <v>46245</v>
      </c>
      <c r="H79" s="7">
        <v>3000</v>
      </c>
      <c r="I79" s="7">
        <v>3083</v>
      </c>
      <c r="J79" s="7">
        <v>0</v>
      </c>
      <c r="K79" s="6">
        <v>0</v>
      </c>
      <c r="L79" s="5">
        <f t="shared" si="2"/>
        <v>0</v>
      </c>
    </row>
    <row r="80" spans="4:12" x14ac:dyDescent="0.3">
      <c r="D80" s="9">
        <v>32882</v>
      </c>
      <c r="E80" s="9" t="s">
        <v>18</v>
      </c>
      <c r="F80" s="9" t="s">
        <v>12</v>
      </c>
      <c r="G80" s="8">
        <v>46245</v>
      </c>
      <c r="H80" s="7">
        <v>5600</v>
      </c>
      <c r="I80" s="7">
        <v>5738</v>
      </c>
      <c r="J80" s="7">
        <v>0</v>
      </c>
      <c r="K80" s="6">
        <v>0</v>
      </c>
      <c r="L80" s="5">
        <f t="shared" si="2"/>
        <v>0</v>
      </c>
    </row>
    <row r="81" spans="4:12" x14ac:dyDescent="0.3">
      <c r="D81" s="9">
        <v>32883</v>
      </c>
      <c r="E81" s="9" t="s">
        <v>17</v>
      </c>
      <c r="F81" s="9" t="s">
        <v>12</v>
      </c>
      <c r="G81" s="8">
        <v>46245</v>
      </c>
      <c r="H81" s="7">
        <v>5600</v>
      </c>
      <c r="I81" s="7">
        <v>5722</v>
      </c>
      <c r="J81" s="7">
        <v>0</v>
      </c>
      <c r="K81" s="6">
        <v>0</v>
      </c>
      <c r="L81" s="5">
        <f t="shared" si="2"/>
        <v>0</v>
      </c>
    </row>
    <row r="82" spans="4:12" x14ac:dyDescent="0.3">
      <c r="D82" s="9">
        <v>32886</v>
      </c>
      <c r="E82" s="9" t="s">
        <v>16</v>
      </c>
      <c r="F82" s="9" t="s">
        <v>2</v>
      </c>
      <c r="G82" s="8">
        <v>46247</v>
      </c>
      <c r="H82" s="7">
        <v>14208</v>
      </c>
      <c r="I82" s="7">
        <v>15242</v>
      </c>
      <c r="J82" s="7">
        <v>0</v>
      </c>
      <c r="K82" s="6">
        <v>0</v>
      </c>
      <c r="L82" s="5">
        <f t="shared" si="2"/>
        <v>0</v>
      </c>
    </row>
    <row r="83" spans="4:12" x14ac:dyDescent="0.3">
      <c r="D83" s="9">
        <v>32889</v>
      </c>
      <c r="E83" s="9" t="s">
        <v>15</v>
      </c>
      <c r="F83" s="9" t="s">
        <v>14</v>
      </c>
      <c r="G83" s="8">
        <v>46246</v>
      </c>
      <c r="H83" s="7">
        <v>7600</v>
      </c>
      <c r="I83" s="7">
        <v>7662</v>
      </c>
      <c r="J83" s="7">
        <v>0</v>
      </c>
      <c r="K83" s="6">
        <v>0</v>
      </c>
      <c r="L83" s="5">
        <f t="shared" si="2"/>
        <v>0</v>
      </c>
    </row>
    <row r="84" spans="4:12" x14ac:dyDescent="0.3">
      <c r="D84" s="9">
        <v>32895</v>
      </c>
      <c r="E84" s="9" t="s">
        <v>13</v>
      </c>
      <c r="F84" s="9" t="s">
        <v>12</v>
      </c>
      <c r="G84" s="8">
        <v>46245</v>
      </c>
      <c r="H84" s="7">
        <v>2000</v>
      </c>
      <c r="I84" s="7">
        <v>2000</v>
      </c>
      <c r="J84" s="7">
        <v>0</v>
      </c>
      <c r="K84" s="6">
        <v>0</v>
      </c>
      <c r="L84" s="5">
        <f t="shared" si="2"/>
        <v>0</v>
      </c>
    </row>
    <row r="85" spans="4:12" x14ac:dyDescent="0.3">
      <c r="D85" s="9">
        <v>32909</v>
      </c>
      <c r="E85" s="9" t="s">
        <v>11</v>
      </c>
      <c r="F85" s="9" t="s">
        <v>10</v>
      </c>
      <c r="G85" s="8">
        <v>46244</v>
      </c>
      <c r="H85" s="7">
        <v>3150</v>
      </c>
      <c r="I85" s="7">
        <v>6180</v>
      </c>
      <c r="J85" s="7">
        <v>0</v>
      </c>
      <c r="K85" s="6">
        <v>0</v>
      </c>
      <c r="L85" s="5">
        <f t="shared" si="2"/>
        <v>0</v>
      </c>
    </row>
    <row r="86" spans="4:12" x14ac:dyDescent="0.3">
      <c r="D86" s="9">
        <v>32910</v>
      </c>
      <c r="E86" s="9" t="s">
        <v>8</v>
      </c>
      <c r="F86" s="9" t="s">
        <v>9</v>
      </c>
      <c r="G86" s="8">
        <v>46247</v>
      </c>
      <c r="H86" s="7">
        <v>2000</v>
      </c>
      <c r="I86" s="7">
        <v>2000</v>
      </c>
      <c r="J86" s="7">
        <v>0</v>
      </c>
      <c r="K86" s="6">
        <v>0</v>
      </c>
      <c r="L86" s="5">
        <f t="shared" si="2"/>
        <v>0</v>
      </c>
    </row>
    <row r="87" spans="4:12" x14ac:dyDescent="0.3">
      <c r="D87" s="9">
        <v>32911</v>
      </c>
      <c r="E87" s="9" t="s">
        <v>8</v>
      </c>
      <c r="F87" s="9" t="s">
        <v>7</v>
      </c>
      <c r="G87" s="8">
        <v>46247</v>
      </c>
      <c r="H87" s="7">
        <v>12000</v>
      </c>
      <c r="I87" s="7">
        <v>12050</v>
      </c>
      <c r="J87" s="7">
        <v>0</v>
      </c>
      <c r="K87" s="6">
        <v>0</v>
      </c>
      <c r="L87" s="5">
        <f t="shared" si="2"/>
        <v>0</v>
      </c>
    </row>
    <row r="88" spans="4:12" x14ac:dyDescent="0.3">
      <c r="D88" s="9">
        <v>32913</v>
      </c>
      <c r="E88" s="9" t="s">
        <v>6</v>
      </c>
      <c r="F88" s="9" t="s">
        <v>5</v>
      </c>
      <c r="G88" s="8">
        <v>46248</v>
      </c>
      <c r="H88" s="7">
        <v>7000</v>
      </c>
      <c r="I88" s="7">
        <v>7000</v>
      </c>
      <c r="J88" s="7">
        <v>0</v>
      </c>
      <c r="K88" s="6">
        <v>0</v>
      </c>
      <c r="L88" s="5">
        <f t="shared" si="2"/>
        <v>0</v>
      </c>
    </row>
    <row r="89" spans="4:12" x14ac:dyDescent="0.3">
      <c r="D89" s="9">
        <v>32920</v>
      </c>
      <c r="E89" s="9" t="s">
        <v>4</v>
      </c>
      <c r="F89" s="9" t="s">
        <v>2</v>
      </c>
      <c r="G89" s="8">
        <v>46248</v>
      </c>
      <c r="H89" s="7">
        <v>1500</v>
      </c>
      <c r="I89" s="7">
        <v>1530</v>
      </c>
      <c r="J89" s="7">
        <v>0</v>
      </c>
      <c r="K89" s="6">
        <v>0</v>
      </c>
      <c r="L89" s="5">
        <f t="shared" si="2"/>
        <v>0</v>
      </c>
    </row>
    <row r="90" spans="4:12" x14ac:dyDescent="0.3">
      <c r="D90" s="9">
        <v>32921</v>
      </c>
      <c r="E90" s="9" t="s">
        <v>3</v>
      </c>
      <c r="F90" s="9" t="s">
        <v>2</v>
      </c>
      <c r="G90" s="8">
        <v>46248</v>
      </c>
      <c r="H90" s="7">
        <v>1200</v>
      </c>
      <c r="I90" s="7">
        <v>1220</v>
      </c>
      <c r="J90" s="7">
        <v>0</v>
      </c>
      <c r="K90" s="6">
        <v>0</v>
      </c>
      <c r="L90" s="5">
        <f t="shared" si="2"/>
        <v>0</v>
      </c>
    </row>
    <row r="91" spans="4:12" x14ac:dyDescent="0.3">
      <c r="D91" s="9">
        <v>32923</v>
      </c>
      <c r="E91" s="9" t="s">
        <v>1</v>
      </c>
      <c r="F91" s="9" t="s">
        <v>0</v>
      </c>
      <c r="G91" s="8">
        <v>46247</v>
      </c>
      <c r="H91" s="7">
        <v>2000</v>
      </c>
      <c r="I91" s="7">
        <v>2000</v>
      </c>
      <c r="J91" s="7">
        <v>0</v>
      </c>
      <c r="K91" s="6">
        <v>0</v>
      </c>
      <c r="L91" s="5">
        <f t="shared" si="2"/>
        <v>0</v>
      </c>
    </row>
    <row r="92" spans="4:12" x14ac:dyDescent="0.3">
      <c r="G92" s="4"/>
      <c r="K92" s="3"/>
      <c r="L92" s="2"/>
    </row>
    <row r="93" spans="4:12" x14ac:dyDescent="0.3">
      <c r="G93" s="4"/>
      <c r="K93" s="3"/>
      <c r="L93" s="2"/>
    </row>
    <row r="94" spans="4:12" x14ac:dyDescent="0.3">
      <c r="G94" s="4"/>
      <c r="K94" s="3"/>
      <c r="L94" s="2"/>
    </row>
    <row r="95" spans="4:12" x14ac:dyDescent="0.3">
      <c r="G95" s="4"/>
      <c r="K95" s="3"/>
      <c r="L95" s="2"/>
    </row>
    <row r="96" spans="4:12" x14ac:dyDescent="0.3">
      <c r="G96" s="4"/>
      <c r="K96" s="3"/>
      <c r="L96" s="2"/>
    </row>
    <row r="97" spans="7:12" x14ac:dyDescent="0.3">
      <c r="G97" s="4"/>
      <c r="K97" s="3"/>
      <c r="L97" s="2"/>
    </row>
    <row r="98" spans="7:12" x14ac:dyDescent="0.3">
      <c r="G98" s="4"/>
      <c r="K98" s="3"/>
      <c r="L98" s="2"/>
    </row>
    <row r="99" spans="7:12" x14ac:dyDescent="0.3">
      <c r="G99" s="4"/>
      <c r="K99" s="3"/>
      <c r="L99" s="2"/>
    </row>
    <row r="100" spans="7:12" x14ac:dyDescent="0.3">
      <c r="G100" s="4"/>
      <c r="K100" s="3"/>
      <c r="L100" s="2"/>
    </row>
    <row r="101" spans="7:12" x14ac:dyDescent="0.3">
      <c r="G101" s="4"/>
      <c r="K101" s="3"/>
      <c r="L101" s="2"/>
    </row>
    <row r="102" spans="7:12" x14ac:dyDescent="0.3">
      <c r="G102" s="4"/>
      <c r="K102" s="3"/>
      <c r="L102" s="2"/>
    </row>
    <row r="103" spans="7:12" x14ac:dyDescent="0.3">
      <c r="G103" s="4"/>
      <c r="K103" s="3"/>
      <c r="L103" s="2"/>
    </row>
    <row r="104" spans="7:12" x14ac:dyDescent="0.3">
      <c r="G104" s="4"/>
      <c r="K104" s="3"/>
      <c r="L104" s="2"/>
    </row>
    <row r="105" spans="7:12" x14ac:dyDescent="0.3">
      <c r="G105" s="4"/>
      <c r="K105" s="3"/>
      <c r="L105" s="2"/>
    </row>
    <row r="106" spans="7:12" x14ac:dyDescent="0.3">
      <c r="G106" s="4"/>
      <c r="K106" s="3"/>
      <c r="L106" s="2"/>
    </row>
    <row r="107" spans="7:12" x14ac:dyDescent="0.3">
      <c r="G107" s="4"/>
      <c r="K107" s="3"/>
      <c r="L107" s="2"/>
    </row>
    <row r="108" spans="7:12" x14ac:dyDescent="0.3">
      <c r="G108" s="4"/>
      <c r="K108" s="3"/>
      <c r="L108" s="2"/>
    </row>
    <row r="109" spans="7:12" x14ac:dyDescent="0.3">
      <c r="G109" s="4"/>
      <c r="K109" s="3"/>
      <c r="L109" s="2"/>
    </row>
    <row r="110" spans="7:12" x14ac:dyDescent="0.3">
      <c r="G110" s="4"/>
      <c r="K110" s="3"/>
      <c r="L110" s="2"/>
    </row>
    <row r="111" spans="7:12" x14ac:dyDescent="0.3">
      <c r="G111" s="4"/>
      <c r="K111" s="3"/>
      <c r="L111" s="2"/>
    </row>
    <row r="112" spans="7:12" x14ac:dyDescent="0.3">
      <c r="G112" s="4"/>
      <c r="K112" s="3"/>
      <c r="L112" s="2"/>
    </row>
    <row r="113" spans="7:12" x14ac:dyDescent="0.3">
      <c r="G113" s="4"/>
      <c r="K113" s="3"/>
      <c r="L113" s="2"/>
    </row>
    <row r="114" spans="7:12" x14ac:dyDescent="0.3">
      <c r="G114" s="4"/>
      <c r="K114" s="3"/>
      <c r="L114" s="2"/>
    </row>
    <row r="115" spans="7:12" x14ac:dyDescent="0.3">
      <c r="G115" s="4"/>
      <c r="K115" s="3"/>
      <c r="L115" s="2"/>
    </row>
    <row r="116" spans="7:12" x14ac:dyDescent="0.3">
      <c r="G116" s="4"/>
      <c r="K116" s="3"/>
      <c r="L116" s="2"/>
    </row>
    <row r="117" spans="7:12" x14ac:dyDescent="0.3">
      <c r="G117" s="4"/>
      <c r="K117" s="3"/>
      <c r="L117" s="2"/>
    </row>
    <row r="118" spans="7:12" x14ac:dyDescent="0.3">
      <c r="G118" s="4"/>
      <c r="K118" s="3"/>
      <c r="L118" s="2"/>
    </row>
    <row r="119" spans="7:12" x14ac:dyDescent="0.3">
      <c r="G119" s="4"/>
      <c r="K119" s="3"/>
      <c r="L119" s="2"/>
    </row>
    <row r="120" spans="7:12" x14ac:dyDescent="0.3">
      <c r="G120" s="4"/>
      <c r="K120" s="3"/>
      <c r="L120" s="2"/>
    </row>
    <row r="121" spans="7:12" x14ac:dyDescent="0.3">
      <c r="G121" s="4"/>
      <c r="K121" s="3"/>
      <c r="L121" s="2"/>
    </row>
    <row r="122" spans="7:12" x14ac:dyDescent="0.3">
      <c r="G122" s="4"/>
      <c r="K122" s="3"/>
      <c r="L122" s="2"/>
    </row>
    <row r="123" spans="7:12" x14ac:dyDescent="0.3">
      <c r="G123" s="4"/>
      <c r="K123" s="3"/>
      <c r="L123" s="2"/>
    </row>
    <row r="124" spans="7:12" x14ac:dyDescent="0.3">
      <c r="G124" s="4"/>
      <c r="K124" s="3"/>
      <c r="L124" s="2"/>
    </row>
    <row r="125" spans="7:12" x14ac:dyDescent="0.3">
      <c r="G125" s="4"/>
      <c r="K125" s="3"/>
      <c r="L125" s="2"/>
    </row>
    <row r="126" spans="7:12" x14ac:dyDescent="0.3">
      <c r="G126" s="4"/>
      <c r="K126" s="3"/>
      <c r="L126" s="2"/>
    </row>
    <row r="127" spans="7:12" x14ac:dyDescent="0.3">
      <c r="G127" s="4"/>
      <c r="K127" s="3"/>
      <c r="L127" s="2"/>
    </row>
    <row r="128" spans="7:12" x14ac:dyDescent="0.3">
      <c r="G128" s="4"/>
      <c r="K128" s="3"/>
      <c r="L128" s="2"/>
    </row>
    <row r="129" spans="7:12" x14ac:dyDescent="0.3">
      <c r="G129" s="4"/>
      <c r="K129" s="3"/>
      <c r="L129" s="2"/>
    </row>
  </sheetData>
  <autoFilter ref="D1:L1" xr:uid="{ED0A2852-B90F-4E5C-9DCF-FC384D5546E0}"/>
  <mergeCells count="1">
    <mergeCell ref="A1:B1"/>
  </mergeCells>
  <conditionalFormatting sqref="D2:D1048576">
    <cfRule type="duplicateValues" dxfId="5" priority="1"/>
  </conditionalFormatting>
  <pageMargins left="0.7" right="0.7" top="0.75" bottom="0.75" header="0.3" footer="0.3"/>
  <pageSetup paperSize="9" scale="42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41FB7-A8DC-43A0-882C-BDF91292E103}">
  <sheetPr>
    <tabColor rgb="FFFF0000"/>
    <pageSetUpPr fitToPage="1"/>
  </sheetPr>
  <dimension ref="A1:M129"/>
  <sheetViews>
    <sheetView zoomScaleNormal="100" workbookViewId="0">
      <selection activeCell="H1" sqref="H1"/>
    </sheetView>
  </sheetViews>
  <sheetFormatPr baseColWidth="10" defaultRowHeight="14.4" x14ac:dyDescent="0.3"/>
  <cols>
    <col min="1" max="1" width="23.88671875" bestFit="1" customWidth="1"/>
    <col min="2" max="2" width="11.21875" bestFit="1" customWidth="1"/>
    <col min="3" max="3" width="12.77734375" customWidth="1"/>
    <col min="4" max="4" width="10" bestFit="1" customWidth="1"/>
    <col min="5" max="5" width="6" bestFit="1" customWidth="1"/>
    <col min="6" max="6" width="94.88671875" bestFit="1" customWidth="1"/>
    <col min="7" max="7" width="29.33203125" bestFit="1" customWidth="1"/>
    <col min="8" max="8" width="19.33203125" bestFit="1" customWidth="1"/>
    <col min="9" max="9" width="21.33203125" style="1" bestFit="1" customWidth="1"/>
    <col min="10" max="10" width="23.5546875" style="1" bestFit="1" customWidth="1"/>
    <col min="11" max="11" width="13.44140625" style="1" bestFit="1" customWidth="1"/>
    <col min="12" max="12" width="11.6640625" bestFit="1" customWidth="1"/>
    <col min="13" max="13" width="23.21875" bestFit="1" customWidth="1"/>
  </cols>
  <sheetData>
    <row r="1" spans="1:13" x14ac:dyDescent="0.3">
      <c r="A1" s="51" t="s">
        <v>119</v>
      </c>
      <c r="B1" s="51"/>
      <c r="E1" s="23" t="s">
        <v>118</v>
      </c>
      <c r="F1" s="23" t="s">
        <v>117</v>
      </c>
      <c r="G1" s="23" t="s">
        <v>116</v>
      </c>
      <c r="H1" s="23" t="s">
        <v>115</v>
      </c>
      <c r="I1" s="23" t="s">
        <v>114</v>
      </c>
      <c r="J1" s="23" t="s">
        <v>113</v>
      </c>
      <c r="K1" s="23" t="s">
        <v>112</v>
      </c>
      <c r="L1" s="23" t="s">
        <v>111</v>
      </c>
      <c r="M1" s="23" t="s">
        <v>110</v>
      </c>
    </row>
    <row r="2" spans="1:13" x14ac:dyDescent="0.3">
      <c r="A2" s="15" t="s">
        <v>109</v>
      </c>
      <c r="B2" s="8">
        <v>46248</v>
      </c>
      <c r="E2" s="9">
        <v>32569</v>
      </c>
      <c r="F2" s="9" t="s">
        <v>104</v>
      </c>
      <c r="G2" s="9" t="s">
        <v>12</v>
      </c>
      <c r="H2" s="8">
        <v>46248</v>
      </c>
      <c r="I2" s="7">
        <v>16800</v>
      </c>
      <c r="J2" s="7">
        <v>11103</v>
      </c>
      <c r="K2" s="7">
        <v>5697</v>
      </c>
      <c r="L2" s="6">
        <v>0.33900000000000002</v>
      </c>
      <c r="M2" s="12">
        <f t="shared" ref="M2:M33" si="0">K2/$B$8</f>
        <v>0.11205523101433883</v>
      </c>
    </row>
    <row r="3" spans="1:13" x14ac:dyDescent="0.3">
      <c r="A3" s="15" t="s">
        <v>107</v>
      </c>
      <c r="B3" s="8">
        <v>46255</v>
      </c>
      <c r="E3" s="9">
        <v>32693</v>
      </c>
      <c r="F3" s="9" t="s">
        <v>173</v>
      </c>
      <c r="G3" s="9" t="s">
        <v>2</v>
      </c>
      <c r="H3" s="8">
        <v>46254</v>
      </c>
      <c r="I3" s="7">
        <v>16000</v>
      </c>
      <c r="J3" s="7">
        <v>12130</v>
      </c>
      <c r="K3" s="7">
        <v>3870</v>
      </c>
      <c r="L3" s="6">
        <v>0.24199999999999999</v>
      </c>
      <c r="M3" s="12">
        <f t="shared" si="0"/>
        <v>7.6119667197734109E-2</v>
      </c>
    </row>
    <row r="4" spans="1:13" x14ac:dyDescent="0.3">
      <c r="E4" s="9">
        <v>32517</v>
      </c>
      <c r="F4" s="9" t="s">
        <v>182</v>
      </c>
      <c r="G4" s="9" t="s">
        <v>12</v>
      </c>
      <c r="H4" s="8">
        <v>46252</v>
      </c>
      <c r="I4" s="7">
        <v>19600</v>
      </c>
      <c r="J4" s="7">
        <v>15970</v>
      </c>
      <c r="K4" s="7">
        <v>3630</v>
      </c>
      <c r="L4" s="6">
        <v>0.185</v>
      </c>
      <c r="M4" s="12">
        <f t="shared" si="0"/>
        <v>7.1399067681595568E-2</v>
      </c>
    </row>
    <row r="5" spans="1:13" x14ac:dyDescent="0.3">
      <c r="A5" s="15" t="s">
        <v>105</v>
      </c>
      <c r="B5" s="9">
        <f>SUBTOTAL(3,E2:E1048576)</f>
        <v>104</v>
      </c>
      <c r="E5" s="9">
        <v>32793</v>
      </c>
      <c r="F5" s="9" t="s">
        <v>174</v>
      </c>
      <c r="G5" s="9" t="s">
        <v>71</v>
      </c>
      <c r="H5" s="8">
        <v>46254</v>
      </c>
      <c r="I5" s="7">
        <v>22000</v>
      </c>
      <c r="J5" s="7">
        <v>19300</v>
      </c>
      <c r="K5" s="7">
        <v>2700</v>
      </c>
      <c r="L5" s="6">
        <v>0.123</v>
      </c>
      <c r="M5" s="12">
        <f t="shared" si="0"/>
        <v>5.3106744556558685E-2</v>
      </c>
    </row>
    <row r="6" spans="1:13" x14ac:dyDescent="0.3">
      <c r="A6" s="15" t="s">
        <v>103</v>
      </c>
      <c r="B6" s="20">
        <f>SUBTOTAL(9,I2:I167)</f>
        <v>922353</v>
      </c>
      <c r="E6" s="9">
        <v>32837</v>
      </c>
      <c r="F6" s="9" t="s">
        <v>177</v>
      </c>
      <c r="G6" s="9" t="s">
        <v>176</v>
      </c>
      <c r="H6" s="8">
        <v>46255</v>
      </c>
      <c r="I6" s="7">
        <v>5000</v>
      </c>
      <c r="J6" s="7">
        <v>2450</v>
      </c>
      <c r="K6" s="7">
        <v>2550</v>
      </c>
      <c r="L6" s="6">
        <v>0.51</v>
      </c>
      <c r="M6" s="12">
        <f t="shared" si="0"/>
        <v>5.0156369858972087E-2</v>
      </c>
    </row>
    <row r="7" spans="1:13" x14ac:dyDescent="0.3">
      <c r="A7" s="15" t="s">
        <v>101</v>
      </c>
      <c r="B7" s="20">
        <f>SUBTOTAL(9,J2:J167)</f>
        <v>878861</v>
      </c>
      <c r="D7" s="21"/>
      <c r="E7" s="9">
        <v>32518</v>
      </c>
      <c r="F7" s="9" t="s">
        <v>182</v>
      </c>
      <c r="G7" s="9" t="s">
        <v>12</v>
      </c>
      <c r="H7" s="8">
        <v>46251</v>
      </c>
      <c r="I7" s="7">
        <v>19600</v>
      </c>
      <c r="J7" s="7">
        <v>17500</v>
      </c>
      <c r="K7" s="7">
        <v>2100</v>
      </c>
      <c r="L7" s="6">
        <v>0.107</v>
      </c>
      <c r="M7" s="12">
        <f t="shared" si="0"/>
        <v>4.1305245766212306E-2</v>
      </c>
    </row>
    <row r="8" spans="1:13" x14ac:dyDescent="0.3">
      <c r="A8" s="15" t="s">
        <v>99</v>
      </c>
      <c r="B8" s="20">
        <f>SUBTOTAL(9,K2:K167)</f>
        <v>50841</v>
      </c>
      <c r="D8" s="19"/>
      <c r="E8" s="9">
        <v>32716</v>
      </c>
      <c r="F8" s="9" t="s">
        <v>88</v>
      </c>
      <c r="G8" s="9" t="s">
        <v>12</v>
      </c>
      <c r="H8" s="8">
        <v>46252</v>
      </c>
      <c r="I8" s="7">
        <v>18000</v>
      </c>
      <c r="J8" s="7">
        <v>16250</v>
      </c>
      <c r="K8" s="7">
        <v>1750</v>
      </c>
      <c r="L8" s="6">
        <v>9.7000000000000003E-2</v>
      </c>
      <c r="M8" s="12">
        <f t="shared" si="0"/>
        <v>3.442103813851026E-2</v>
      </c>
    </row>
    <row r="9" spans="1:13" x14ac:dyDescent="0.3">
      <c r="A9" s="15" t="s">
        <v>98</v>
      </c>
      <c r="B9" s="18">
        <f>B8/B6</f>
        <v>5.5120978627488611E-2</v>
      </c>
      <c r="D9" s="17"/>
      <c r="E9" s="9">
        <v>32829</v>
      </c>
      <c r="F9" s="9" t="s">
        <v>181</v>
      </c>
      <c r="G9" s="9" t="s">
        <v>180</v>
      </c>
      <c r="H9" s="8">
        <v>46254</v>
      </c>
      <c r="I9" s="7">
        <v>12000</v>
      </c>
      <c r="J9" s="7">
        <v>10625</v>
      </c>
      <c r="K9" s="7">
        <v>1375</v>
      </c>
      <c r="L9" s="6">
        <v>0.115</v>
      </c>
      <c r="M9" s="12">
        <f t="shared" si="0"/>
        <v>2.7045101394543775E-2</v>
      </c>
    </row>
    <row r="10" spans="1:13" x14ac:dyDescent="0.3">
      <c r="A10" s="15" t="s">
        <v>96</v>
      </c>
      <c r="B10" s="9">
        <f>COUNTIF(L:L,"&gt;=5%")</f>
        <v>25</v>
      </c>
      <c r="D10" s="16"/>
      <c r="E10" s="9">
        <v>32792</v>
      </c>
      <c r="F10" s="9" t="s">
        <v>174</v>
      </c>
      <c r="G10" s="9" t="s">
        <v>71</v>
      </c>
      <c r="H10" s="8">
        <v>46251</v>
      </c>
      <c r="I10" s="7">
        <v>22000</v>
      </c>
      <c r="J10" s="7">
        <v>20700</v>
      </c>
      <c r="K10" s="7">
        <v>1300</v>
      </c>
      <c r="L10" s="6">
        <v>5.8999999999999997E-2</v>
      </c>
      <c r="M10" s="12">
        <f t="shared" si="0"/>
        <v>2.5569914045750475E-2</v>
      </c>
    </row>
    <row r="11" spans="1:13" x14ac:dyDescent="0.3">
      <c r="A11" s="15" t="s">
        <v>95</v>
      </c>
      <c r="B11" s="14">
        <f>B10/B5</f>
        <v>0.24038461538461539</v>
      </c>
      <c r="E11" s="9">
        <v>32876</v>
      </c>
      <c r="F11" s="9" t="s">
        <v>179</v>
      </c>
      <c r="G11" s="9" t="s">
        <v>12</v>
      </c>
      <c r="H11" s="8">
        <v>46253</v>
      </c>
      <c r="I11" s="7">
        <v>30233</v>
      </c>
      <c r="J11" s="7">
        <v>29000</v>
      </c>
      <c r="K11" s="7">
        <v>1233</v>
      </c>
      <c r="L11" s="6">
        <v>4.1000000000000002E-2</v>
      </c>
      <c r="M11" s="12">
        <f t="shared" si="0"/>
        <v>2.4252080014161799E-2</v>
      </c>
    </row>
    <row r="12" spans="1:13" x14ac:dyDescent="0.3">
      <c r="E12" s="9">
        <v>32949</v>
      </c>
      <c r="F12" s="9" t="s">
        <v>165</v>
      </c>
      <c r="G12" s="9" t="s">
        <v>79</v>
      </c>
      <c r="H12" s="8">
        <v>46254</v>
      </c>
      <c r="I12" s="7">
        <v>12600</v>
      </c>
      <c r="J12" s="7">
        <v>11450</v>
      </c>
      <c r="K12" s="7">
        <v>1150</v>
      </c>
      <c r="L12" s="6">
        <v>9.0999999999999998E-2</v>
      </c>
      <c r="M12" s="12">
        <f t="shared" si="0"/>
        <v>2.2619539348163884E-2</v>
      </c>
    </row>
    <row r="13" spans="1:13" x14ac:dyDescent="0.3">
      <c r="E13" s="9">
        <v>32791</v>
      </c>
      <c r="F13" s="9" t="s">
        <v>174</v>
      </c>
      <c r="G13" s="9" t="s">
        <v>71</v>
      </c>
      <c r="H13" s="8">
        <v>46253</v>
      </c>
      <c r="I13" s="7">
        <v>22000</v>
      </c>
      <c r="J13" s="7">
        <v>20900</v>
      </c>
      <c r="K13" s="7">
        <v>1100</v>
      </c>
      <c r="L13" s="6">
        <v>0.05</v>
      </c>
      <c r="M13" s="12">
        <f t="shared" si="0"/>
        <v>2.163608111563502E-2</v>
      </c>
    </row>
    <row r="14" spans="1:13" x14ac:dyDescent="0.3">
      <c r="A14" s="26" t="s">
        <v>178</v>
      </c>
      <c r="B14" s="27">
        <f>B8-'[1]17-08'!B8</f>
        <v>-15852</v>
      </c>
      <c r="E14" s="9">
        <v>32821</v>
      </c>
      <c r="F14" s="9" t="s">
        <v>171</v>
      </c>
      <c r="G14" s="9" t="s">
        <v>170</v>
      </c>
      <c r="H14" s="8">
        <v>46255</v>
      </c>
      <c r="I14" s="7">
        <v>18000</v>
      </c>
      <c r="J14" s="7">
        <v>17000</v>
      </c>
      <c r="K14" s="7">
        <v>1000</v>
      </c>
      <c r="L14" s="6">
        <v>5.6000000000000001E-2</v>
      </c>
      <c r="M14" s="12">
        <f t="shared" si="0"/>
        <v>1.9669164650577289E-2</v>
      </c>
    </row>
    <row r="15" spans="1:13" x14ac:dyDescent="0.3">
      <c r="A15" s="26" t="s">
        <v>178</v>
      </c>
      <c r="B15" s="25">
        <f>B9-'[1]17-08'!B9</f>
        <v>-3.1681454178164155E-2</v>
      </c>
      <c r="E15" s="9">
        <v>32950</v>
      </c>
      <c r="F15" s="9" t="s">
        <v>165</v>
      </c>
      <c r="G15" s="9" t="s">
        <v>79</v>
      </c>
      <c r="H15" s="8">
        <v>46254</v>
      </c>
      <c r="I15" s="7">
        <v>12600</v>
      </c>
      <c r="J15" s="7">
        <v>11603</v>
      </c>
      <c r="K15" s="7">
        <v>997</v>
      </c>
      <c r="L15" s="6">
        <v>7.9000000000000001E-2</v>
      </c>
      <c r="M15" s="5">
        <f t="shared" si="0"/>
        <v>1.9610157156625559E-2</v>
      </c>
    </row>
    <row r="16" spans="1:13" x14ac:dyDescent="0.3">
      <c r="E16" s="9">
        <v>32839</v>
      </c>
      <c r="F16" s="9" t="s">
        <v>177</v>
      </c>
      <c r="G16" s="9" t="s">
        <v>176</v>
      </c>
      <c r="H16" s="8">
        <v>46254</v>
      </c>
      <c r="I16" s="7">
        <v>16000</v>
      </c>
      <c r="J16" s="7">
        <v>15050</v>
      </c>
      <c r="K16" s="7">
        <v>950</v>
      </c>
      <c r="L16" s="6">
        <v>5.8999999999999997E-2</v>
      </c>
      <c r="M16" s="5">
        <f t="shared" si="0"/>
        <v>1.8685706418048426E-2</v>
      </c>
    </row>
    <row r="17" spans="5:13" x14ac:dyDescent="0.3">
      <c r="E17" s="9">
        <v>32820</v>
      </c>
      <c r="F17" s="9" t="s">
        <v>171</v>
      </c>
      <c r="G17" s="9" t="s">
        <v>170</v>
      </c>
      <c r="H17" s="8">
        <v>46254</v>
      </c>
      <c r="I17" s="7">
        <v>18000</v>
      </c>
      <c r="J17" s="7">
        <v>17100</v>
      </c>
      <c r="K17" s="7">
        <v>900</v>
      </c>
      <c r="L17" s="6">
        <v>0.05</v>
      </c>
      <c r="M17" s="5">
        <f t="shared" si="0"/>
        <v>1.7702248185519562E-2</v>
      </c>
    </row>
    <row r="18" spans="5:13" x14ac:dyDescent="0.3">
      <c r="E18" s="9">
        <v>32470</v>
      </c>
      <c r="F18" s="9" t="s">
        <v>97</v>
      </c>
      <c r="G18" s="9" t="s">
        <v>12</v>
      </c>
      <c r="H18" s="8">
        <v>46255</v>
      </c>
      <c r="I18" s="7">
        <v>24000</v>
      </c>
      <c r="J18" s="7">
        <v>23125</v>
      </c>
      <c r="K18" s="7">
        <v>875</v>
      </c>
      <c r="L18" s="6">
        <v>3.5999999999999997E-2</v>
      </c>
      <c r="M18" s="5">
        <f t="shared" si="0"/>
        <v>1.721051906925513E-2</v>
      </c>
    </row>
    <row r="19" spans="5:13" x14ac:dyDescent="0.3">
      <c r="E19" s="9">
        <v>32811</v>
      </c>
      <c r="F19" s="9" t="s">
        <v>175</v>
      </c>
      <c r="G19" s="9" t="s">
        <v>22</v>
      </c>
      <c r="H19" s="8">
        <v>46252</v>
      </c>
      <c r="I19" s="7">
        <v>2000</v>
      </c>
      <c r="J19" s="7">
        <v>1136</v>
      </c>
      <c r="K19" s="7">
        <v>864</v>
      </c>
      <c r="L19" s="24">
        <v>0.432</v>
      </c>
      <c r="M19" s="5">
        <f t="shared" si="0"/>
        <v>1.6994158258098777E-2</v>
      </c>
    </row>
    <row r="20" spans="5:13" x14ac:dyDescent="0.3">
      <c r="E20" s="9">
        <v>32794</v>
      </c>
      <c r="F20" s="9" t="s">
        <v>174</v>
      </c>
      <c r="G20" s="9" t="s">
        <v>71</v>
      </c>
      <c r="H20" s="8">
        <v>46254</v>
      </c>
      <c r="I20" s="7">
        <v>22000</v>
      </c>
      <c r="J20" s="7">
        <v>21150</v>
      </c>
      <c r="K20" s="7">
        <v>850</v>
      </c>
      <c r="L20" s="6">
        <v>3.9E-2</v>
      </c>
      <c r="M20" s="5">
        <f t="shared" si="0"/>
        <v>1.6718789952990698E-2</v>
      </c>
    </row>
    <row r="21" spans="5:13" x14ac:dyDescent="0.3">
      <c r="E21" s="9">
        <v>32795</v>
      </c>
      <c r="F21" s="9" t="s">
        <v>174</v>
      </c>
      <c r="G21" s="9" t="s">
        <v>71</v>
      </c>
      <c r="H21" s="8">
        <v>46255</v>
      </c>
      <c r="I21" s="7">
        <v>24000</v>
      </c>
      <c r="J21" s="7">
        <v>23150</v>
      </c>
      <c r="K21" s="7">
        <v>850</v>
      </c>
      <c r="L21" s="6">
        <v>3.5000000000000003E-2</v>
      </c>
      <c r="M21" s="5">
        <f t="shared" si="0"/>
        <v>1.6718789952990698E-2</v>
      </c>
    </row>
    <row r="22" spans="5:13" x14ac:dyDescent="0.3">
      <c r="E22" s="9">
        <v>32730</v>
      </c>
      <c r="F22" s="9" t="s">
        <v>88</v>
      </c>
      <c r="G22" s="9" t="s">
        <v>12</v>
      </c>
      <c r="H22" s="8">
        <v>46253</v>
      </c>
      <c r="I22" s="7">
        <v>18000</v>
      </c>
      <c r="J22" s="7">
        <v>17200</v>
      </c>
      <c r="K22" s="7">
        <v>800</v>
      </c>
      <c r="L22" s="6">
        <v>4.3999999999999997E-2</v>
      </c>
      <c r="M22" s="5">
        <f t="shared" si="0"/>
        <v>1.5735331720461831E-2</v>
      </c>
    </row>
    <row r="23" spans="5:13" x14ac:dyDescent="0.3">
      <c r="E23" s="9">
        <v>32691</v>
      </c>
      <c r="F23" s="9" t="s">
        <v>173</v>
      </c>
      <c r="G23" s="9" t="s">
        <v>2</v>
      </c>
      <c r="H23" s="8">
        <v>46253</v>
      </c>
      <c r="I23" s="7">
        <v>16000</v>
      </c>
      <c r="J23" s="7">
        <v>15220</v>
      </c>
      <c r="K23" s="7">
        <v>780</v>
      </c>
      <c r="L23" s="6">
        <v>4.9000000000000002E-2</v>
      </c>
      <c r="M23" s="5">
        <f t="shared" si="0"/>
        <v>1.5341948427450286E-2</v>
      </c>
    </row>
    <row r="24" spans="5:13" x14ac:dyDescent="0.3">
      <c r="E24" s="9">
        <v>32865</v>
      </c>
      <c r="F24" s="9" t="s">
        <v>89</v>
      </c>
      <c r="G24" s="9" t="s">
        <v>30</v>
      </c>
      <c r="H24" s="8">
        <v>46248</v>
      </c>
      <c r="I24" s="7">
        <v>15200</v>
      </c>
      <c r="J24" s="7">
        <v>14487</v>
      </c>
      <c r="K24" s="7">
        <v>713</v>
      </c>
      <c r="L24" s="6">
        <v>4.7E-2</v>
      </c>
      <c r="M24" s="5">
        <f t="shared" si="0"/>
        <v>1.4024114395861608E-2</v>
      </c>
    </row>
    <row r="25" spans="5:13" x14ac:dyDescent="0.3">
      <c r="E25" s="9">
        <v>32464</v>
      </c>
      <c r="F25" s="9" t="s">
        <v>172</v>
      </c>
      <c r="G25" s="9" t="s">
        <v>12</v>
      </c>
      <c r="H25" s="8">
        <v>46255</v>
      </c>
      <c r="I25" s="7">
        <v>18000</v>
      </c>
      <c r="J25" s="7">
        <v>17300</v>
      </c>
      <c r="K25" s="7">
        <v>700</v>
      </c>
      <c r="L25" s="6">
        <v>3.9E-2</v>
      </c>
      <c r="M25" s="5">
        <f t="shared" si="0"/>
        <v>1.3768415255404103E-2</v>
      </c>
    </row>
    <row r="26" spans="5:13" x14ac:dyDescent="0.3">
      <c r="E26" s="9">
        <v>32732</v>
      </c>
      <c r="F26" s="9" t="s">
        <v>88</v>
      </c>
      <c r="G26" s="9" t="s">
        <v>12</v>
      </c>
      <c r="H26" s="8">
        <v>46248</v>
      </c>
      <c r="I26" s="7">
        <v>18000</v>
      </c>
      <c r="J26" s="7">
        <v>17350</v>
      </c>
      <c r="K26" s="7">
        <v>650</v>
      </c>
      <c r="L26" s="6">
        <v>3.5999999999999997E-2</v>
      </c>
      <c r="M26" s="5">
        <f t="shared" si="0"/>
        <v>1.2784957022875238E-2</v>
      </c>
    </row>
    <row r="27" spans="5:13" x14ac:dyDescent="0.3">
      <c r="E27" s="9">
        <v>32907</v>
      </c>
      <c r="F27" s="9" t="s">
        <v>86</v>
      </c>
      <c r="G27" s="9" t="s">
        <v>14</v>
      </c>
      <c r="H27" s="8">
        <v>46248</v>
      </c>
      <c r="I27" s="7">
        <v>13300</v>
      </c>
      <c r="J27" s="7">
        <v>12689</v>
      </c>
      <c r="K27" s="7">
        <v>611</v>
      </c>
      <c r="L27" s="6">
        <v>4.5999999999999999E-2</v>
      </c>
      <c r="M27" s="5">
        <f t="shared" si="0"/>
        <v>1.2017859601502725E-2</v>
      </c>
    </row>
    <row r="28" spans="5:13" x14ac:dyDescent="0.3">
      <c r="E28" s="9">
        <v>32906</v>
      </c>
      <c r="F28" s="9" t="s">
        <v>81</v>
      </c>
      <c r="G28" s="9" t="s">
        <v>14</v>
      </c>
      <c r="H28" s="8">
        <v>46248</v>
      </c>
      <c r="I28" s="7">
        <v>9500</v>
      </c>
      <c r="J28" s="7">
        <v>8915</v>
      </c>
      <c r="K28" s="7">
        <v>585</v>
      </c>
      <c r="L28" s="6">
        <v>6.2E-2</v>
      </c>
      <c r="M28" s="5">
        <f t="shared" si="0"/>
        <v>1.1506461320587715E-2</v>
      </c>
    </row>
    <row r="29" spans="5:13" x14ac:dyDescent="0.3">
      <c r="E29" s="9">
        <v>32735</v>
      </c>
      <c r="F29" s="9" t="s">
        <v>84</v>
      </c>
      <c r="G29" s="9" t="s">
        <v>83</v>
      </c>
      <c r="H29" s="8">
        <v>46248</v>
      </c>
      <c r="I29" s="7">
        <v>6600</v>
      </c>
      <c r="J29" s="7">
        <v>6022</v>
      </c>
      <c r="K29" s="7">
        <v>578</v>
      </c>
      <c r="L29" s="6">
        <v>8.7999999999999995E-2</v>
      </c>
      <c r="M29" s="5">
        <f t="shared" si="0"/>
        <v>1.1368777168033674E-2</v>
      </c>
    </row>
    <row r="30" spans="5:13" x14ac:dyDescent="0.3">
      <c r="E30" s="9">
        <v>32731</v>
      </c>
      <c r="F30" s="9" t="s">
        <v>88</v>
      </c>
      <c r="G30" s="9" t="s">
        <v>12</v>
      </c>
      <c r="H30" s="8">
        <v>46252</v>
      </c>
      <c r="I30" s="7">
        <v>20000</v>
      </c>
      <c r="J30" s="7">
        <v>19450</v>
      </c>
      <c r="K30" s="7">
        <v>550</v>
      </c>
      <c r="L30" s="6">
        <v>2.8000000000000001E-2</v>
      </c>
      <c r="M30" s="5">
        <f t="shared" si="0"/>
        <v>1.081804055781751E-2</v>
      </c>
    </row>
    <row r="31" spans="5:13" x14ac:dyDescent="0.3">
      <c r="E31" s="9">
        <v>32822</v>
      </c>
      <c r="F31" s="9" t="s">
        <v>171</v>
      </c>
      <c r="G31" s="9" t="s">
        <v>170</v>
      </c>
      <c r="H31" s="8">
        <v>46255</v>
      </c>
      <c r="I31" s="7">
        <v>16000</v>
      </c>
      <c r="J31" s="7">
        <v>15500</v>
      </c>
      <c r="K31" s="7">
        <v>500</v>
      </c>
      <c r="L31" s="6">
        <v>3.1E-2</v>
      </c>
      <c r="M31" s="5">
        <f t="shared" si="0"/>
        <v>9.8345823252886447E-3</v>
      </c>
    </row>
    <row r="32" spans="5:13" x14ac:dyDescent="0.3">
      <c r="E32" s="9">
        <v>32946</v>
      </c>
      <c r="F32" s="9" t="s">
        <v>47</v>
      </c>
      <c r="G32" s="9" t="s">
        <v>30</v>
      </c>
      <c r="H32" s="8">
        <v>46252</v>
      </c>
      <c r="I32" s="7">
        <v>9000</v>
      </c>
      <c r="J32" s="7">
        <v>8504</v>
      </c>
      <c r="K32" s="7">
        <v>496</v>
      </c>
      <c r="L32" s="6">
        <v>5.5E-2</v>
      </c>
      <c r="M32" s="5">
        <f t="shared" si="0"/>
        <v>9.7559056666863351E-3</v>
      </c>
    </row>
    <row r="33" spans="5:13" x14ac:dyDescent="0.3">
      <c r="E33" s="9">
        <v>32899</v>
      </c>
      <c r="F33" s="9" t="s">
        <v>81</v>
      </c>
      <c r="G33" s="9" t="s">
        <v>14</v>
      </c>
      <c r="H33" s="8">
        <v>46248</v>
      </c>
      <c r="I33" s="7">
        <v>11400</v>
      </c>
      <c r="J33" s="7">
        <v>10910</v>
      </c>
      <c r="K33" s="7">
        <v>490</v>
      </c>
      <c r="L33" s="6">
        <v>4.2999999999999997E-2</v>
      </c>
      <c r="M33" s="5">
        <f t="shared" si="0"/>
        <v>9.6378906787828716E-3</v>
      </c>
    </row>
    <row r="34" spans="5:13" x14ac:dyDescent="0.3">
      <c r="E34" s="9">
        <v>32945</v>
      </c>
      <c r="F34" s="9" t="s">
        <v>169</v>
      </c>
      <c r="G34" s="9" t="s">
        <v>30</v>
      </c>
      <c r="H34" s="8">
        <v>46252</v>
      </c>
      <c r="I34" s="7">
        <v>9000</v>
      </c>
      <c r="J34" s="7">
        <v>8514</v>
      </c>
      <c r="K34" s="7">
        <v>486</v>
      </c>
      <c r="L34" s="6">
        <v>5.3999999999999999E-2</v>
      </c>
      <c r="M34" s="5">
        <f t="shared" ref="M34:M65" si="1">K34/$B$8</f>
        <v>9.5592140201805637E-3</v>
      </c>
    </row>
    <row r="35" spans="5:13" x14ac:dyDescent="0.3">
      <c r="E35" s="9">
        <v>32936</v>
      </c>
      <c r="F35" s="9" t="s">
        <v>78</v>
      </c>
      <c r="G35" s="9" t="s">
        <v>30</v>
      </c>
      <c r="H35" s="8">
        <v>46248</v>
      </c>
      <c r="I35" s="7">
        <v>5400</v>
      </c>
      <c r="J35" s="7">
        <v>4936</v>
      </c>
      <c r="K35" s="7">
        <v>464</v>
      </c>
      <c r="L35" s="6">
        <v>8.5999999999999993E-2</v>
      </c>
      <c r="M35" s="5">
        <f t="shared" si="1"/>
        <v>9.1264923978678619E-3</v>
      </c>
    </row>
    <row r="36" spans="5:13" x14ac:dyDescent="0.3">
      <c r="E36" s="9">
        <v>32733</v>
      </c>
      <c r="F36" s="9" t="s">
        <v>88</v>
      </c>
      <c r="G36" s="9" t="s">
        <v>12</v>
      </c>
      <c r="H36" s="8">
        <v>46252</v>
      </c>
      <c r="I36" s="7">
        <v>14000</v>
      </c>
      <c r="J36" s="7">
        <v>13600</v>
      </c>
      <c r="K36" s="7">
        <v>400</v>
      </c>
      <c r="L36" s="6">
        <v>2.9000000000000001E-2</v>
      </c>
      <c r="M36" s="5">
        <f t="shared" si="1"/>
        <v>7.8676658602309154E-3</v>
      </c>
    </row>
    <row r="37" spans="5:13" x14ac:dyDescent="0.3">
      <c r="E37" s="9">
        <v>32841</v>
      </c>
      <c r="F37" s="9" t="s">
        <v>130</v>
      </c>
      <c r="G37" s="9" t="s">
        <v>79</v>
      </c>
      <c r="H37" s="8">
        <v>46252</v>
      </c>
      <c r="I37" s="7">
        <v>8750</v>
      </c>
      <c r="J37" s="7">
        <v>8400</v>
      </c>
      <c r="K37" s="7">
        <v>350</v>
      </c>
      <c r="L37" s="6">
        <v>0.04</v>
      </c>
      <c r="M37" s="5">
        <f t="shared" si="1"/>
        <v>6.8842076277020516E-3</v>
      </c>
    </row>
    <row r="38" spans="5:13" x14ac:dyDescent="0.3">
      <c r="E38" s="9">
        <v>32849</v>
      </c>
      <c r="F38" s="9" t="s">
        <v>130</v>
      </c>
      <c r="G38" s="9" t="s">
        <v>79</v>
      </c>
      <c r="H38" s="8">
        <v>46253</v>
      </c>
      <c r="I38" s="7">
        <v>8750</v>
      </c>
      <c r="J38" s="7">
        <v>8425</v>
      </c>
      <c r="K38" s="7">
        <v>325</v>
      </c>
      <c r="L38" s="6">
        <v>3.6999999999999998E-2</v>
      </c>
      <c r="M38" s="5">
        <f t="shared" si="1"/>
        <v>6.3924785114376189E-3</v>
      </c>
    </row>
    <row r="39" spans="5:13" x14ac:dyDescent="0.3">
      <c r="E39" s="9">
        <v>32944</v>
      </c>
      <c r="F39" s="9" t="s">
        <v>15</v>
      </c>
      <c r="G39" s="9" t="s">
        <v>14</v>
      </c>
      <c r="H39" s="8">
        <v>46252</v>
      </c>
      <c r="I39" s="7">
        <v>21600</v>
      </c>
      <c r="J39" s="7">
        <v>21277</v>
      </c>
      <c r="K39" s="7">
        <v>323</v>
      </c>
      <c r="L39" s="6">
        <v>1.4999999999999999E-2</v>
      </c>
      <c r="M39" s="5">
        <f t="shared" si="1"/>
        <v>6.3531401821364649E-3</v>
      </c>
    </row>
    <row r="40" spans="5:13" x14ac:dyDescent="0.3">
      <c r="E40" s="9">
        <v>32941</v>
      </c>
      <c r="F40" s="9" t="s">
        <v>168</v>
      </c>
      <c r="G40" s="9" t="s">
        <v>166</v>
      </c>
      <c r="H40" s="8">
        <v>46255</v>
      </c>
      <c r="I40" s="7">
        <v>25200</v>
      </c>
      <c r="J40" s="7">
        <v>24882</v>
      </c>
      <c r="K40" s="7">
        <v>318</v>
      </c>
      <c r="L40" s="6">
        <v>1.2999999999999999E-2</v>
      </c>
      <c r="M40" s="5">
        <f t="shared" si="1"/>
        <v>6.2547943588835784E-3</v>
      </c>
    </row>
    <row r="41" spans="5:13" x14ac:dyDescent="0.3">
      <c r="E41" s="9">
        <v>32942</v>
      </c>
      <c r="F41" s="9" t="s">
        <v>167</v>
      </c>
      <c r="G41" s="9" t="s">
        <v>166</v>
      </c>
      <c r="H41" s="8">
        <v>46255</v>
      </c>
      <c r="I41" s="7">
        <v>18000</v>
      </c>
      <c r="J41" s="7">
        <v>17697</v>
      </c>
      <c r="K41" s="7">
        <v>303</v>
      </c>
      <c r="L41" s="6">
        <v>1.7000000000000001E-2</v>
      </c>
      <c r="M41" s="5">
        <f t="shared" si="1"/>
        <v>5.9597568891249187E-3</v>
      </c>
    </row>
    <row r="42" spans="5:13" x14ac:dyDescent="0.3">
      <c r="E42" s="9">
        <v>32951</v>
      </c>
      <c r="F42" s="9" t="s">
        <v>165</v>
      </c>
      <c r="G42" s="9" t="s">
        <v>79</v>
      </c>
      <c r="H42" s="8">
        <v>46254</v>
      </c>
      <c r="I42" s="7">
        <v>12600</v>
      </c>
      <c r="J42" s="7">
        <v>12304</v>
      </c>
      <c r="K42" s="7">
        <v>296</v>
      </c>
      <c r="L42" s="6">
        <v>2.3E-2</v>
      </c>
      <c r="M42" s="5">
        <f t="shared" si="1"/>
        <v>5.8220727365708783E-3</v>
      </c>
    </row>
    <row r="43" spans="5:13" x14ac:dyDescent="0.3">
      <c r="E43" s="9">
        <v>32919</v>
      </c>
      <c r="F43" s="9" t="s">
        <v>75</v>
      </c>
      <c r="G43" s="9" t="s">
        <v>14</v>
      </c>
      <c r="H43" s="8">
        <v>46248</v>
      </c>
      <c r="I43" s="7">
        <v>17100</v>
      </c>
      <c r="J43" s="7">
        <v>16809</v>
      </c>
      <c r="K43" s="7">
        <v>291</v>
      </c>
      <c r="L43" s="6">
        <v>1.7000000000000001E-2</v>
      </c>
      <c r="M43" s="5">
        <f t="shared" si="1"/>
        <v>5.7237269133179917E-3</v>
      </c>
    </row>
    <row r="44" spans="5:13" x14ac:dyDescent="0.3">
      <c r="E44" s="9">
        <v>32976</v>
      </c>
      <c r="F44" s="9" t="s">
        <v>164</v>
      </c>
      <c r="G44" s="9" t="s">
        <v>163</v>
      </c>
      <c r="H44" s="8">
        <v>46253</v>
      </c>
      <c r="I44" s="7">
        <v>3200</v>
      </c>
      <c r="J44" s="7">
        <v>2926</v>
      </c>
      <c r="K44" s="7">
        <v>274</v>
      </c>
      <c r="L44" s="6">
        <v>8.5999999999999993E-2</v>
      </c>
      <c r="M44" s="5">
        <f t="shared" si="1"/>
        <v>5.3893511142581773E-3</v>
      </c>
    </row>
    <row r="45" spans="5:13" x14ac:dyDescent="0.3">
      <c r="E45" s="9">
        <v>32840</v>
      </c>
      <c r="F45" s="9" t="s">
        <v>130</v>
      </c>
      <c r="G45" s="9" t="s">
        <v>79</v>
      </c>
      <c r="H45" s="8">
        <v>46252</v>
      </c>
      <c r="I45" s="7">
        <v>8750</v>
      </c>
      <c r="J45" s="7">
        <v>8480</v>
      </c>
      <c r="K45" s="7">
        <v>270</v>
      </c>
      <c r="L45" s="6">
        <v>3.1E-2</v>
      </c>
      <c r="M45" s="5">
        <f t="shared" si="1"/>
        <v>5.3106744556558685E-3</v>
      </c>
    </row>
    <row r="46" spans="5:13" x14ac:dyDescent="0.3">
      <c r="E46" s="9">
        <v>32843</v>
      </c>
      <c r="F46" s="9" t="s">
        <v>130</v>
      </c>
      <c r="G46" s="9" t="s">
        <v>79</v>
      </c>
      <c r="H46" s="8">
        <v>46252</v>
      </c>
      <c r="I46" s="7">
        <v>8750</v>
      </c>
      <c r="J46" s="7">
        <v>8511</v>
      </c>
      <c r="K46" s="7">
        <v>239</v>
      </c>
      <c r="L46" s="6">
        <v>2.7E-2</v>
      </c>
      <c r="M46" s="5">
        <f t="shared" si="1"/>
        <v>4.7009303514879723E-3</v>
      </c>
    </row>
    <row r="47" spans="5:13" x14ac:dyDescent="0.3">
      <c r="E47" s="9">
        <v>32905</v>
      </c>
      <c r="F47" s="9" t="s">
        <v>69</v>
      </c>
      <c r="G47" s="9" t="s">
        <v>30</v>
      </c>
      <c r="H47" s="8">
        <v>46248</v>
      </c>
      <c r="I47" s="7">
        <v>7600</v>
      </c>
      <c r="J47" s="7">
        <v>7374</v>
      </c>
      <c r="K47" s="7">
        <v>226</v>
      </c>
      <c r="L47" s="6">
        <v>0.03</v>
      </c>
      <c r="M47" s="5">
        <f t="shared" si="1"/>
        <v>4.4452312110304674E-3</v>
      </c>
    </row>
    <row r="48" spans="5:13" x14ac:dyDescent="0.3">
      <c r="E48" s="9">
        <v>32817</v>
      </c>
      <c r="F48" s="9" t="s">
        <v>66</v>
      </c>
      <c r="G48" s="9" t="s">
        <v>45</v>
      </c>
      <c r="H48" s="8">
        <v>46248</v>
      </c>
      <c r="I48" s="7">
        <v>1600</v>
      </c>
      <c r="J48" s="7">
        <v>1388</v>
      </c>
      <c r="K48" s="7">
        <v>212</v>
      </c>
      <c r="L48" s="6">
        <v>0.13300000000000001</v>
      </c>
      <c r="M48" s="5">
        <f t="shared" si="1"/>
        <v>4.1698629059223856E-3</v>
      </c>
    </row>
    <row r="49" spans="5:13" x14ac:dyDescent="0.3">
      <c r="E49" s="9">
        <v>32842</v>
      </c>
      <c r="F49" s="9" t="s">
        <v>130</v>
      </c>
      <c r="G49" s="9" t="s">
        <v>79</v>
      </c>
      <c r="H49" s="8">
        <v>46252</v>
      </c>
      <c r="I49" s="7">
        <v>8750</v>
      </c>
      <c r="J49" s="7">
        <v>8543</v>
      </c>
      <c r="K49" s="7">
        <v>207</v>
      </c>
      <c r="L49" s="6">
        <v>2.4E-2</v>
      </c>
      <c r="M49" s="5">
        <f t="shared" si="1"/>
        <v>4.071517082669499E-3</v>
      </c>
    </row>
    <row r="50" spans="5:13" x14ac:dyDescent="0.3">
      <c r="E50" s="9">
        <v>32985</v>
      </c>
      <c r="F50" s="9" t="s">
        <v>162</v>
      </c>
      <c r="G50" s="9" t="s">
        <v>122</v>
      </c>
      <c r="H50" s="8">
        <v>46255</v>
      </c>
      <c r="I50" s="7">
        <v>2100</v>
      </c>
      <c r="J50" s="7">
        <v>1899</v>
      </c>
      <c r="K50" s="7">
        <v>201</v>
      </c>
      <c r="L50" s="6">
        <v>9.6000000000000002E-2</v>
      </c>
      <c r="M50" s="5">
        <f t="shared" si="1"/>
        <v>3.9535020947660355E-3</v>
      </c>
    </row>
    <row r="51" spans="5:13" x14ac:dyDescent="0.3">
      <c r="E51" s="9">
        <v>32933</v>
      </c>
      <c r="F51" s="9" t="s">
        <v>161</v>
      </c>
      <c r="G51" s="9" t="s">
        <v>12</v>
      </c>
      <c r="H51" s="8">
        <v>46253</v>
      </c>
      <c r="I51" s="7">
        <v>4000</v>
      </c>
      <c r="J51" s="7">
        <v>3810</v>
      </c>
      <c r="K51" s="7">
        <v>190</v>
      </c>
      <c r="L51" s="6">
        <v>4.8000000000000001E-2</v>
      </c>
      <c r="M51" s="5">
        <f t="shared" si="1"/>
        <v>3.737141283609685E-3</v>
      </c>
    </row>
    <row r="52" spans="5:13" x14ac:dyDescent="0.3">
      <c r="E52" s="9">
        <v>32846</v>
      </c>
      <c r="F52" s="9" t="s">
        <v>130</v>
      </c>
      <c r="G52" s="9" t="s">
        <v>79</v>
      </c>
      <c r="H52" s="8">
        <v>46253</v>
      </c>
      <c r="I52" s="7">
        <v>8750</v>
      </c>
      <c r="J52" s="7">
        <v>8568</v>
      </c>
      <c r="K52" s="7">
        <v>182</v>
      </c>
      <c r="L52" s="6">
        <v>2.1000000000000001E-2</v>
      </c>
      <c r="M52" s="5">
        <f t="shared" si="1"/>
        <v>3.5797879664050667E-3</v>
      </c>
    </row>
    <row r="53" spans="5:13" x14ac:dyDescent="0.3">
      <c r="E53" s="9">
        <v>32924</v>
      </c>
      <c r="F53" s="9" t="s">
        <v>60</v>
      </c>
      <c r="G53" s="9" t="s">
        <v>59</v>
      </c>
      <c r="H53" s="8">
        <v>46248</v>
      </c>
      <c r="I53" s="7">
        <v>7600</v>
      </c>
      <c r="J53" s="7">
        <v>7425</v>
      </c>
      <c r="K53" s="7">
        <v>175</v>
      </c>
      <c r="L53" s="6">
        <v>2.3E-2</v>
      </c>
      <c r="M53" s="5">
        <f t="shared" si="1"/>
        <v>3.4421038138510258E-3</v>
      </c>
    </row>
    <row r="54" spans="5:13" x14ac:dyDescent="0.3">
      <c r="E54" s="9">
        <v>32845</v>
      </c>
      <c r="F54" s="9" t="s">
        <v>130</v>
      </c>
      <c r="G54" s="9" t="s">
        <v>79</v>
      </c>
      <c r="H54" s="8">
        <v>46253</v>
      </c>
      <c r="I54" s="7">
        <v>8750</v>
      </c>
      <c r="J54" s="7">
        <v>8610</v>
      </c>
      <c r="K54" s="7">
        <v>140</v>
      </c>
      <c r="L54" s="6">
        <v>1.6E-2</v>
      </c>
      <c r="M54" s="5">
        <f t="shared" si="1"/>
        <v>2.7536830510808204E-3</v>
      </c>
    </row>
    <row r="55" spans="5:13" x14ac:dyDescent="0.3">
      <c r="E55" s="9">
        <v>32847</v>
      </c>
      <c r="F55" s="9" t="s">
        <v>130</v>
      </c>
      <c r="G55" s="9" t="s">
        <v>79</v>
      </c>
      <c r="H55" s="8">
        <v>46253</v>
      </c>
      <c r="I55" s="7">
        <v>8750</v>
      </c>
      <c r="J55" s="7">
        <v>8618</v>
      </c>
      <c r="K55" s="7">
        <v>132</v>
      </c>
      <c r="L55" s="6">
        <v>1.4999999999999999E-2</v>
      </c>
      <c r="M55" s="5">
        <f t="shared" si="1"/>
        <v>2.5963297338762021E-3</v>
      </c>
    </row>
    <row r="56" spans="5:13" x14ac:dyDescent="0.3">
      <c r="E56" s="9">
        <v>32947</v>
      </c>
      <c r="F56" s="9" t="s">
        <v>31</v>
      </c>
      <c r="G56" s="9" t="s">
        <v>30</v>
      </c>
      <c r="H56" s="8">
        <v>46252</v>
      </c>
      <c r="I56" s="7">
        <v>5400</v>
      </c>
      <c r="J56" s="7">
        <v>5280</v>
      </c>
      <c r="K56" s="7">
        <v>120</v>
      </c>
      <c r="L56" s="6">
        <v>2.1999999999999999E-2</v>
      </c>
      <c r="M56" s="5">
        <f t="shared" si="1"/>
        <v>2.3602997580692746E-3</v>
      </c>
    </row>
    <row r="57" spans="5:13" x14ac:dyDescent="0.3">
      <c r="E57" s="9">
        <v>32948</v>
      </c>
      <c r="F57" s="9" t="s">
        <v>160</v>
      </c>
      <c r="G57" s="9" t="s">
        <v>30</v>
      </c>
      <c r="H57" s="8">
        <v>46253</v>
      </c>
      <c r="I57" s="7">
        <v>5700</v>
      </c>
      <c r="J57" s="7">
        <v>5581</v>
      </c>
      <c r="K57" s="7">
        <v>119</v>
      </c>
      <c r="L57" s="6">
        <v>2.1000000000000001E-2</v>
      </c>
      <c r="M57" s="5">
        <f t="shared" si="1"/>
        <v>2.3406305934186977E-3</v>
      </c>
    </row>
    <row r="58" spans="5:13" x14ac:dyDescent="0.3">
      <c r="E58" s="9">
        <v>32987</v>
      </c>
      <c r="F58" s="9" t="s">
        <v>159</v>
      </c>
      <c r="G58" s="9" t="s">
        <v>122</v>
      </c>
      <c r="H58" s="8">
        <v>46254</v>
      </c>
      <c r="I58" s="7">
        <v>3800</v>
      </c>
      <c r="J58" s="7">
        <v>3690</v>
      </c>
      <c r="K58" s="7">
        <v>110</v>
      </c>
      <c r="L58" s="6">
        <v>2.9000000000000001E-2</v>
      </c>
      <c r="M58" s="5">
        <f t="shared" si="1"/>
        <v>2.163608111563502E-3</v>
      </c>
    </row>
    <row r="59" spans="5:13" x14ac:dyDescent="0.3">
      <c r="E59" s="9">
        <v>32955</v>
      </c>
      <c r="F59" s="9" t="s">
        <v>158</v>
      </c>
      <c r="G59" s="9" t="s">
        <v>157</v>
      </c>
      <c r="H59" s="8">
        <v>46254</v>
      </c>
      <c r="I59" s="7">
        <v>3800</v>
      </c>
      <c r="J59" s="7">
        <v>3695</v>
      </c>
      <c r="K59" s="7">
        <v>105</v>
      </c>
      <c r="L59" s="6">
        <v>2.8000000000000001E-2</v>
      </c>
      <c r="M59" s="5">
        <f t="shared" si="1"/>
        <v>2.0652622883106154E-3</v>
      </c>
    </row>
    <row r="60" spans="5:13" x14ac:dyDescent="0.3">
      <c r="E60" s="9">
        <v>32926</v>
      </c>
      <c r="F60" s="9" t="s">
        <v>156</v>
      </c>
      <c r="G60" s="9" t="s">
        <v>150</v>
      </c>
      <c r="H60" s="8">
        <v>46251</v>
      </c>
      <c r="I60" s="7">
        <v>1900</v>
      </c>
      <c r="J60" s="7">
        <v>1805</v>
      </c>
      <c r="K60" s="7">
        <v>95</v>
      </c>
      <c r="L60" s="6">
        <v>0.05</v>
      </c>
      <c r="M60" s="5">
        <f t="shared" si="1"/>
        <v>1.8685706418048425E-3</v>
      </c>
    </row>
    <row r="61" spans="5:13" x14ac:dyDescent="0.3">
      <c r="E61" s="9">
        <v>32915</v>
      </c>
      <c r="F61" s="9" t="s">
        <v>44</v>
      </c>
      <c r="G61" s="9" t="s">
        <v>36</v>
      </c>
      <c r="H61" s="8">
        <v>46248</v>
      </c>
      <c r="I61" s="7">
        <v>3800</v>
      </c>
      <c r="J61" s="7">
        <v>3717</v>
      </c>
      <c r="K61" s="7">
        <v>83</v>
      </c>
      <c r="L61" s="6">
        <v>2.1999999999999999E-2</v>
      </c>
      <c r="M61" s="5">
        <f t="shared" si="1"/>
        <v>1.6325406659979151E-3</v>
      </c>
    </row>
    <row r="62" spans="5:13" x14ac:dyDescent="0.3">
      <c r="E62" s="9">
        <v>33014</v>
      </c>
      <c r="F62" s="9" t="s">
        <v>155</v>
      </c>
      <c r="G62" s="9" t="s">
        <v>26</v>
      </c>
      <c r="H62" s="8">
        <v>46255</v>
      </c>
      <c r="I62" s="7">
        <v>3800</v>
      </c>
      <c r="J62" s="7">
        <v>3717</v>
      </c>
      <c r="K62" s="7">
        <v>83</v>
      </c>
      <c r="L62" s="6">
        <v>2.1999999999999999E-2</v>
      </c>
      <c r="M62" s="5">
        <f t="shared" si="1"/>
        <v>1.6325406659979151E-3</v>
      </c>
    </row>
    <row r="63" spans="5:13" x14ac:dyDescent="0.3">
      <c r="E63" s="9">
        <v>32912</v>
      </c>
      <c r="F63" s="9" t="s">
        <v>146</v>
      </c>
      <c r="G63" s="9" t="s">
        <v>154</v>
      </c>
      <c r="H63" s="8">
        <v>46251</v>
      </c>
      <c r="I63" s="7">
        <v>3300</v>
      </c>
      <c r="J63" s="7">
        <v>3225</v>
      </c>
      <c r="K63" s="7">
        <v>75</v>
      </c>
      <c r="L63" s="6">
        <v>2.3E-2</v>
      </c>
      <c r="M63" s="5">
        <f t="shared" si="1"/>
        <v>1.4751873487932967E-3</v>
      </c>
    </row>
    <row r="64" spans="5:13" x14ac:dyDescent="0.3">
      <c r="E64" s="9">
        <v>32952</v>
      </c>
      <c r="F64" s="9" t="s">
        <v>153</v>
      </c>
      <c r="G64" s="9" t="s">
        <v>45</v>
      </c>
      <c r="H64" s="8">
        <v>46253</v>
      </c>
      <c r="I64" s="7">
        <v>2000</v>
      </c>
      <c r="J64" s="7">
        <v>1928</v>
      </c>
      <c r="K64" s="7">
        <v>72</v>
      </c>
      <c r="L64" s="6">
        <v>3.5999999999999997E-2</v>
      </c>
      <c r="M64" s="5">
        <f t="shared" si="1"/>
        <v>1.4161798548415648E-3</v>
      </c>
    </row>
    <row r="65" spans="5:13" x14ac:dyDescent="0.3">
      <c r="E65" s="9">
        <v>32918</v>
      </c>
      <c r="F65" s="9" t="s">
        <v>152</v>
      </c>
      <c r="G65" s="9" t="s">
        <v>0</v>
      </c>
      <c r="H65" s="8">
        <v>46251</v>
      </c>
      <c r="I65" s="7">
        <v>2800</v>
      </c>
      <c r="J65" s="7">
        <v>2731</v>
      </c>
      <c r="K65" s="7">
        <v>69</v>
      </c>
      <c r="L65" s="6">
        <v>2.5000000000000001E-2</v>
      </c>
      <c r="M65" s="5">
        <f t="shared" si="1"/>
        <v>1.357172360889833E-3</v>
      </c>
    </row>
    <row r="66" spans="5:13" x14ac:dyDescent="0.3">
      <c r="E66" s="9">
        <v>32927</v>
      </c>
      <c r="F66" s="9" t="s">
        <v>151</v>
      </c>
      <c r="G66" s="9" t="s">
        <v>150</v>
      </c>
      <c r="H66" s="8">
        <v>46251</v>
      </c>
      <c r="I66" s="7">
        <v>1900</v>
      </c>
      <c r="J66" s="7">
        <v>1836</v>
      </c>
      <c r="K66" s="7">
        <v>64</v>
      </c>
      <c r="L66" s="6">
        <v>3.4000000000000002E-2</v>
      </c>
      <c r="M66" s="5">
        <f t="shared" ref="M66:M97" si="2">K66/$B$8</f>
        <v>1.2588265376369465E-3</v>
      </c>
    </row>
    <row r="67" spans="5:13" x14ac:dyDescent="0.3">
      <c r="E67" s="9">
        <v>32916</v>
      </c>
      <c r="F67" s="9" t="s">
        <v>149</v>
      </c>
      <c r="G67" s="9" t="s">
        <v>36</v>
      </c>
      <c r="H67" s="8">
        <v>46251</v>
      </c>
      <c r="I67" s="7">
        <v>2120</v>
      </c>
      <c r="J67" s="7">
        <v>2058</v>
      </c>
      <c r="K67" s="7">
        <v>62</v>
      </c>
      <c r="L67" s="6">
        <v>2.9000000000000001E-2</v>
      </c>
      <c r="M67" s="5">
        <f t="shared" si="2"/>
        <v>1.2194882083357919E-3</v>
      </c>
    </row>
    <row r="68" spans="5:13" x14ac:dyDescent="0.3">
      <c r="E68" s="9">
        <v>32958</v>
      </c>
      <c r="F68" s="9" t="s">
        <v>148</v>
      </c>
      <c r="G68" s="9" t="s">
        <v>147</v>
      </c>
      <c r="H68" s="8">
        <v>46253</v>
      </c>
      <c r="I68" s="7">
        <v>2200</v>
      </c>
      <c r="J68" s="7">
        <v>2142</v>
      </c>
      <c r="K68" s="7">
        <v>58</v>
      </c>
      <c r="L68" s="6">
        <v>2.5999999999999999E-2</v>
      </c>
      <c r="M68" s="5">
        <f t="shared" si="2"/>
        <v>1.1408115497334827E-3</v>
      </c>
    </row>
    <row r="69" spans="5:13" x14ac:dyDescent="0.3">
      <c r="E69" s="9">
        <v>32844</v>
      </c>
      <c r="F69" s="9" t="s">
        <v>130</v>
      </c>
      <c r="G69" s="9" t="s">
        <v>79</v>
      </c>
      <c r="H69" s="8">
        <v>46252</v>
      </c>
      <c r="I69" s="7">
        <v>8750</v>
      </c>
      <c r="J69" s="7">
        <v>8694</v>
      </c>
      <c r="K69" s="7">
        <v>56</v>
      </c>
      <c r="L69" s="6">
        <v>6.0000000000000001E-3</v>
      </c>
      <c r="M69" s="5">
        <f t="shared" si="2"/>
        <v>1.1014732204323282E-3</v>
      </c>
    </row>
    <row r="70" spans="5:13" x14ac:dyDescent="0.3">
      <c r="E70" s="9">
        <v>33005</v>
      </c>
      <c r="F70" s="9" t="s">
        <v>146</v>
      </c>
      <c r="G70" s="9" t="s">
        <v>145</v>
      </c>
      <c r="H70" s="8">
        <v>46255</v>
      </c>
      <c r="I70" s="7">
        <v>3300</v>
      </c>
      <c r="J70" s="7">
        <v>3244</v>
      </c>
      <c r="K70" s="7">
        <v>56</v>
      </c>
      <c r="L70" s="6">
        <v>1.7000000000000001E-2</v>
      </c>
      <c r="M70" s="5">
        <f t="shared" si="2"/>
        <v>1.1014732204323282E-3</v>
      </c>
    </row>
    <row r="71" spans="5:13" x14ac:dyDescent="0.3">
      <c r="E71" s="9">
        <v>32954</v>
      </c>
      <c r="F71" s="9" t="s">
        <v>144</v>
      </c>
      <c r="G71" s="9" t="s">
        <v>45</v>
      </c>
      <c r="H71" s="8">
        <v>46254</v>
      </c>
      <c r="I71" s="7">
        <v>2100</v>
      </c>
      <c r="J71" s="7">
        <v>2053</v>
      </c>
      <c r="K71" s="7">
        <v>47</v>
      </c>
      <c r="L71" s="6">
        <v>2.1999999999999999E-2</v>
      </c>
      <c r="M71" s="5">
        <f t="shared" si="2"/>
        <v>9.2445073857713267E-4</v>
      </c>
    </row>
    <row r="72" spans="5:13" x14ac:dyDescent="0.3">
      <c r="E72" s="9">
        <v>32943</v>
      </c>
      <c r="F72" s="9" t="s">
        <v>143</v>
      </c>
      <c r="G72" s="9" t="s">
        <v>142</v>
      </c>
      <c r="H72" s="8">
        <v>46254</v>
      </c>
      <c r="I72" s="7">
        <v>2400</v>
      </c>
      <c r="J72" s="7">
        <v>2355</v>
      </c>
      <c r="K72" s="7">
        <v>45</v>
      </c>
      <c r="L72" s="6">
        <v>1.9E-2</v>
      </c>
      <c r="M72" s="5">
        <f t="shared" si="2"/>
        <v>8.8511240927597809E-4</v>
      </c>
    </row>
    <row r="73" spans="5:13" x14ac:dyDescent="0.3">
      <c r="E73" s="9">
        <v>32979</v>
      </c>
      <c r="F73" s="9" t="s">
        <v>141</v>
      </c>
      <c r="G73" s="9" t="s">
        <v>2</v>
      </c>
      <c r="H73" s="8">
        <v>46254</v>
      </c>
      <c r="I73" s="7">
        <v>1600</v>
      </c>
      <c r="J73" s="7">
        <v>1555</v>
      </c>
      <c r="K73" s="7">
        <v>45</v>
      </c>
      <c r="L73" s="6">
        <v>2.8000000000000001E-2</v>
      </c>
      <c r="M73" s="5">
        <f t="shared" si="2"/>
        <v>8.8511240927597809E-4</v>
      </c>
    </row>
    <row r="74" spans="5:13" x14ac:dyDescent="0.3">
      <c r="E74" s="9">
        <v>32981</v>
      </c>
      <c r="F74" s="9" t="s">
        <v>140</v>
      </c>
      <c r="G74" s="9" t="s">
        <v>139</v>
      </c>
      <c r="H74" s="8">
        <v>46254</v>
      </c>
      <c r="I74" s="7">
        <v>1200</v>
      </c>
      <c r="J74" s="7">
        <v>1161</v>
      </c>
      <c r="K74" s="7">
        <v>39</v>
      </c>
      <c r="L74" s="6">
        <v>3.3000000000000002E-2</v>
      </c>
      <c r="M74" s="5">
        <f t="shared" si="2"/>
        <v>7.6709742137251436E-4</v>
      </c>
    </row>
    <row r="75" spans="5:13" x14ac:dyDescent="0.3">
      <c r="E75" s="9">
        <v>32925</v>
      </c>
      <c r="F75" s="9" t="s">
        <v>138</v>
      </c>
      <c r="G75" s="9" t="s">
        <v>136</v>
      </c>
      <c r="H75" s="8">
        <v>46251</v>
      </c>
      <c r="I75" s="7">
        <v>2200</v>
      </c>
      <c r="J75" s="7">
        <v>2162</v>
      </c>
      <c r="K75" s="7">
        <v>38</v>
      </c>
      <c r="L75" s="6">
        <v>1.7000000000000001E-2</v>
      </c>
      <c r="M75" s="5">
        <f t="shared" si="2"/>
        <v>7.4742825672193707E-4</v>
      </c>
    </row>
    <row r="76" spans="5:13" x14ac:dyDescent="0.3">
      <c r="E76" s="9">
        <v>32914</v>
      </c>
      <c r="F76" s="9" t="s">
        <v>38</v>
      </c>
      <c r="G76" s="9" t="s">
        <v>36</v>
      </c>
      <c r="H76" s="8">
        <v>46248</v>
      </c>
      <c r="I76" s="7">
        <v>1900</v>
      </c>
      <c r="J76" s="7">
        <v>1865</v>
      </c>
      <c r="K76" s="7">
        <v>35</v>
      </c>
      <c r="L76" s="6">
        <v>1.7999999999999999E-2</v>
      </c>
      <c r="M76" s="5">
        <f t="shared" si="2"/>
        <v>6.884207627702051E-4</v>
      </c>
    </row>
    <row r="77" spans="5:13" x14ac:dyDescent="0.3">
      <c r="E77" s="9">
        <v>32917</v>
      </c>
      <c r="F77" s="9" t="s">
        <v>37</v>
      </c>
      <c r="G77" s="9" t="s">
        <v>36</v>
      </c>
      <c r="H77" s="8">
        <v>46248</v>
      </c>
      <c r="I77" s="7">
        <v>2200</v>
      </c>
      <c r="J77" s="7">
        <v>2166</v>
      </c>
      <c r="K77" s="7">
        <v>34</v>
      </c>
      <c r="L77" s="6">
        <v>1.4999999999999999E-2</v>
      </c>
      <c r="M77" s="5">
        <f t="shared" si="2"/>
        <v>6.6875159811962781E-4</v>
      </c>
    </row>
    <row r="78" spans="5:13" x14ac:dyDescent="0.3">
      <c r="E78" s="9">
        <v>32983</v>
      </c>
      <c r="F78" s="9" t="s">
        <v>137</v>
      </c>
      <c r="G78" s="9" t="s">
        <v>136</v>
      </c>
      <c r="H78" s="8">
        <v>46254</v>
      </c>
      <c r="I78" s="7">
        <v>2200</v>
      </c>
      <c r="J78" s="7">
        <v>2170</v>
      </c>
      <c r="K78" s="7">
        <v>30</v>
      </c>
      <c r="L78" s="6">
        <v>1.4E-2</v>
      </c>
      <c r="M78" s="5">
        <f t="shared" si="2"/>
        <v>5.9007493951731865E-4</v>
      </c>
    </row>
    <row r="79" spans="5:13" x14ac:dyDescent="0.3">
      <c r="E79" s="9">
        <v>32986</v>
      </c>
      <c r="F79" s="9" t="s">
        <v>132</v>
      </c>
      <c r="G79" s="9" t="s">
        <v>24</v>
      </c>
      <c r="H79" s="8">
        <v>46254</v>
      </c>
      <c r="I79" s="7">
        <v>1200</v>
      </c>
      <c r="J79" s="7">
        <v>1170</v>
      </c>
      <c r="K79" s="7">
        <v>30</v>
      </c>
      <c r="L79" s="6">
        <v>2.5000000000000001E-2</v>
      </c>
      <c r="M79" s="5">
        <f t="shared" si="2"/>
        <v>5.9007493951731865E-4</v>
      </c>
    </row>
    <row r="80" spans="5:13" x14ac:dyDescent="0.3">
      <c r="E80" s="9">
        <v>32937</v>
      </c>
      <c r="F80" s="9" t="s">
        <v>13</v>
      </c>
      <c r="G80" s="9" t="s">
        <v>12</v>
      </c>
      <c r="H80" s="8">
        <v>46252</v>
      </c>
      <c r="I80" s="7">
        <v>1000</v>
      </c>
      <c r="J80" s="7">
        <v>974</v>
      </c>
      <c r="K80" s="7">
        <v>26</v>
      </c>
      <c r="L80" s="6">
        <v>2.5999999999999999E-2</v>
      </c>
      <c r="M80" s="5">
        <f t="shared" si="2"/>
        <v>5.113982809150095E-4</v>
      </c>
    </row>
    <row r="81" spans="5:13" x14ac:dyDescent="0.3">
      <c r="E81" s="9">
        <v>33003</v>
      </c>
      <c r="F81" s="9" t="s">
        <v>134</v>
      </c>
      <c r="G81" s="9" t="s">
        <v>135</v>
      </c>
      <c r="H81" s="8">
        <v>46255</v>
      </c>
      <c r="I81" s="7">
        <v>2200</v>
      </c>
      <c r="J81" s="7">
        <v>2183</v>
      </c>
      <c r="K81" s="7">
        <v>17</v>
      </c>
      <c r="L81" s="6">
        <v>8.0000000000000002E-3</v>
      </c>
      <c r="M81" s="5">
        <f t="shared" si="2"/>
        <v>3.343757990598139E-4</v>
      </c>
    </row>
    <row r="82" spans="5:13" x14ac:dyDescent="0.3">
      <c r="E82" s="9">
        <v>33015</v>
      </c>
      <c r="F82" s="9" t="s">
        <v>134</v>
      </c>
      <c r="G82" s="9" t="s">
        <v>133</v>
      </c>
      <c r="H82" s="8">
        <v>46255</v>
      </c>
      <c r="I82" s="7">
        <v>1100</v>
      </c>
      <c r="J82" s="7">
        <v>1086</v>
      </c>
      <c r="K82" s="7">
        <v>14</v>
      </c>
      <c r="L82" s="6">
        <v>1.2999999999999999E-2</v>
      </c>
      <c r="M82" s="5">
        <f t="shared" si="2"/>
        <v>2.7536830510808204E-4</v>
      </c>
    </row>
    <row r="83" spans="5:13" x14ac:dyDescent="0.3">
      <c r="E83" s="9">
        <v>32980</v>
      </c>
      <c r="F83" s="9" t="s">
        <v>132</v>
      </c>
      <c r="G83" s="9" t="s">
        <v>24</v>
      </c>
      <c r="H83" s="8">
        <v>46254</v>
      </c>
      <c r="I83" s="7">
        <v>2400</v>
      </c>
      <c r="J83" s="7">
        <v>2388</v>
      </c>
      <c r="K83" s="7">
        <v>12</v>
      </c>
      <c r="L83" s="6">
        <v>5.0000000000000001E-3</v>
      </c>
      <c r="M83" s="5">
        <f t="shared" si="2"/>
        <v>2.3602997580692749E-4</v>
      </c>
    </row>
    <row r="84" spans="5:13" x14ac:dyDescent="0.3">
      <c r="E84" s="9">
        <v>32953</v>
      </c>
      <c r="F84" s="9" t="s">
        <v>131</v>
      </c>
      <c r="G84" s="9" t="s">
        <v>45</v>
      </c>
      <c r="H84" s="8">
        <v>46253</v>
      </c>
      <c r="I84" s="7">
        <v>2000</v>
      </c>
      <c r="J84" s="7">
        <v>1996</v>
      </c>
      <c r="K84" s="7">
        <v>4</v>
      </c>
      <c r="L84" s="6">
        <v>2E-3</v>
      </c>
      <c r="M84" s="5">
        <f t="shared" si="2"/>
        <v>7.8676658602309154E-5</v>
      </c>
    </row>
    <row r="85" spans="5:13" x14ac:dyDescent="0.3">
      <c r="E85" s="9">
        <v>32824</v>
      </c>
      <c r="F85" s="9" t="s">
        <v>82</v>
      </c>
      <c r="G85" s="9" t="s">
        <v>12</v>
      </c>
      <c r="H85" s="8">
        <v>46253</v>
      </c>
      <c r="I85" s="7">
        <v>17600</v>
      </c>
      <c r="J85" s="7">
        <v>17650</v>
      </c>
      <c r="K85" s="7">
        <v>0</v>
      </c>
      <c r="L85" s="6">
        <v>0</v>
      </c>
      <c r="M85" s="5">
        <f t="shared" si="2"/>
        <v>0</v>
      </c>
    </row>
    <row r="86" spans="5:13" x14ac:dyDescent="0.3">
      <c r="E86" s="9">
        <v>32848</v>
      </c>
      <c r="F86" s="9" t="s">
        <v>130</v>
      </c>
      <c r="G86" s="9" t="s">
        <v>79</v>
      </c>
      <c r="H86" s="8">
        <v>46253</v>
      </c>
      <c r="I86" s="7">
        <v>8750</v>
      </c>
      <c r="J86" s="7">
        <v>8774</v>
      </c>
      <c r="K86" s="7">
        <v>0</v>
      </c>
      <c r="L86" s="6">
        <v>0</v>
      </c>
      <c r="M86" s="5">
        <f t="shared" si="2"/>
        <v>0</v>
      </c>
    </row>
    <row r="87" spans="5:13" x14ac:dyDescent="0.3">
      <c r="E87" s="9">
        <v>32913</v>
      </c>
      <c r="F87" s="9" t="s">
        <v>6</v>
      </c>
      <c r="G87" s="9" t="s">
        <v>5</v>
      </c>
      <c r="H87" s="8">
        <v>46248</v>
      </c>
      <c r="I87" s="7">
        <v>7000</v>
      </c>
      <c r="J87" s="7">
        <v>7000</v>
      </c>
      <c r="K87" s="7">
        <v>0</v>
      </c>
      <c r="L87" s="6">
        <v>0</v>
      </c>
      <c r="M87" s="5">
        <f t="shared" si="2"/>
        <v>0</v>
      </c>
    </row>
    <row r="88" spans="5:13" x14ac:dyDescent="0.3">
      <c r="E88" s="9">
        <v>32920</v>
      </c>
      <c r="F88" s="9" t="s">
        <v>4</v>
      </c>
      <c r="G88" s="9" t="s">
        <v>2</v>
      </c>
      <c r="H88" s="8">
        <v>46248</v>
      </c>
      <c r="I88" s="7">
        <v>1500</v>
      </c>
      <c r="J88" s="7">
        <v>1530</v>
      </c>
      <c r="K88" s="7">
        <v>0</v>
      </c>
      <c r="L88" s="6">
        <v>0</v>
      </c>
      <c r="M88" s="5">
        <f t="shared" si="2"/>
        <v>0</v>
      </c>
    </row>
    <row r="89" spans="5:13" x14ac:dyDescent="0.3">
      <c r="E89" s="9">
        <v>32921</v>
      </c>
      <c r="F89" s="9" t="s">
        <v>3</v>
      </c>
      <c r="G89" s="9" t="s">
        <v>2</v>
      </c>
      <c r="H89" s="8">
        <v>46248</v>
      </c>
      <c r="I89" s="7">
        <v>1200</v>
      </c>
      <c r="J89" s="7">
        <v>1220</v>
      </c>
      <c r="K89" s="7">
        <v>0</v>
      </c>
      <c r="L89" s="6">
        <v>0</v>
      </c>
      <c r="M89" s="5">
        <f t="shared" si="2"/>
        <v>0</v>
      </c>
    </row>
    <row r="90" spans="5:13" x14ac:dyDescent="0.3">
      <c r="E90" s="9">
        <v>32929</v>
      </c>
      <c r="F90" s="9" t="s">
        <v>13</v>
      </c>
      <c r="G90" s="9" t="s">
        <v>12</v>
      </c>
      <c r="H90" s="8">
        <v>46253</v>
      </c>
      <c r="I90" s="7">
        <v>2000</v>
      </c>
      <c r="J90" s="7">
        <v>2060</v>
      </c>
      <c r="K90" s="7">
        <v>0</v>
      </c>
      <c r="L90" s="6">
        <v>0</v>
      </c>
      <c r="M90" s="5">
        <f t="shared" si="2"/>
        <v>0</v>
      </c>
    </row>
    <row r="91" spans="5:13" x14ac:dyDescent="0.3">
      <c r="E91" s="9">
        <v>32930</v>
      </c>
      <c r="F91" s="9" t="s">
        <v>129</v>
      </c>
      <c r="G91" s="9" t="s">
        <v>12</v>
      </c>
      <c r="H91" s="8">
        <v>46252</v>
      </c>
      <c r="I91" s="7">
        <v>7000</v>
      </c>
      <c r="J91" s="7">
        <v>7200</v>
      </c>
      <c r="K91" s="7">
        <v>0</v>
      </c>
      <c r="L91" s="6">
        <v>0</v>
      </c>
      <c r="M91" s="5">
        <f t="shared" si="2"/>
        <v>0</v>
      </c>
    </row>
    <row r="92" spans="5:13" x14ac:dyDescent="0.3">
      <c r="E92" s="9">
        <v>32931</v>
      </c>
      <c r="F92" s="9" t="s">
        <v>128</v>
      </c>
      <c r="G92" s="9" t="s">
        <v>12</v>
      </c>
      <c r="H92" s="8">
        <v>46252</v>
      </c>
      <c r="I92" s="7">
        <v>4200</v>
      </c>
      <c r="J92" s="7">
        <v>4300</v>
      </c>
      <c r="K92" s="7">
        <v>0</v>
      </c>
      <c r="L92" s="6">
        <v>0</v>
      </c>
      <c r="M92" s="5">
        <f t="shared" si="2"/>
        <v>0</v>
      </c>
    </row>
    <row r="93" spans="5:13" x14ac:dyDescent="0.3">
      <c r="E93" s="9">
        <v>32932</v>
      </c>
      <c r="F93" s="9" t="s">
        <v>18</v>
      </c>
      <c r="G93" s="9" t="s">
        <v>12</v>
      </c>
      <c r="H93" s="8">
        <v>46252</v>
      </c>
      <c r="I93" s="7">
        <v>5600</v>
      </c>
      <c r="J93" s="7">
        <v>5780</v>
      </c>
      <c r="K93" s="7">
        <v>0</v>
      </c>
      <c r="L93" s="6">
        <v>0</v>
      </c>
      <c r="M93" s="5">
        <f t="shared" si="2"/>
        <v>0</v>
      </c>
    </row>
    <row r="94" spans="5:13" x14ac:dyDescent="0.3">
      <c r="E94" s="9">
        <v>32934</v>
      </c>
      <c r="F94" s="9" t="s">
        <v>17</v>
      </c>
      <c r="G94" s="9" t="s">
        <v>12</v>
      </c>
      <c r="H94" s="8">
        <v>46252</v>
      </c>
      <c r="I94" s="7">
        <v>5600</v>
      </c>
      <c r="J94" s="7">
        <v>5878</v>
      </c>
      <c r="K94" s="7">
        <v>0</v>
      </c>
      <c r="L94" s="6">
        <v>0</v>
      </c>
      <c r="M94" s="5">
        <f t="shared" si="2"/>
        <v>0</v>
      </c>
    </row>
    <row r="95" spans="5:13" x14ac:dyDescent="0.3">
      <c r="E95" s="9">
        <v>32935</v>
      </c>
      <c r="F95" s="9" t="s">
        <v>4</v>
      </c>
      <c r="G95" s="9" t="s">
        <v>12</v>
      </c>
      <c r="H95" s="8">
        <v>46252</v>
      </c>
      <c r="I95" s="7">
        <v>5000</v>
      </c>
      <c r="J95" s="7">
        <v>5040</v>
      </c>
      <c r="K95" s="7">
        <v>0</v>
      </c>
      <c r="L95" s="6">
        <v>0</v>
      </c>
      <c r="M95" s="5">
        <f t="shared" si="2"/>
        <v>0</v>
      </c>
    </row>
    <row r="96" spans="5:13" x14ac:dyDescent="0.3">
      <c r="E96" s="9">
        <v>32938</v>
      </c>
      <c r="F96" s="9" t="s">
        <v>13</v>
      </c>
      <c r="G96" s="9" t="s">
        <v>12</v>
      </c>
      <c r="H96" s="8">
        <v>46252</v>
      </c>
      <c r="I96" s="7">
        <v>1000</v>
      </c>
      <c r="J96" s="7">
        <v>1015</v>
      </c>
      <c r="K96" s="7">
        <v>0</v>
      </c>
      <c r="L96" s="6">
        <v>0</v>
      </c>
      <c r="M96" s="5">
        <f t="shared" si="2"/>
        <v>0</v>
      </c>
    </row>
    <row r="97" spans="5:13" x14ac:dyDescent="0.3">
      <c r="E97" s="9">
        <v>32939</v>
      </c>
      <c r="F97" s="9" t="s">
        <v>13</v>
      </c>
      <c r="G97" s="9" t="s">
        <v>12</v>
      </c>
      <c r="H97" s="8">
        <v>46253</v>
      </c>
      <c r="I97" s="7">
        <v>1000</v>
      </c>
      <c r="J97" s="7">
        <v>1040</v>
      </c>
      <c r="K97" s="7">
        <v>0</v>
      </c>
      <c r="L97" s="6">
        <v>0</v>
      </c>
      <c r="M97" s="5">
        <f t="shared" si="2"/>
        <v>0</v>
      </c>
    </row>
    <row r="98" spans="5:13" x14ac:dyDescent="0.3">
      <c r="E98" s="9">
        <v>32940</v>
      </c>
      <c r="F98" s="9" t="s">
        <v>127</v>
      </c>
      <c r="G98" s="9" t="s">
        <v>126</v>
      </c>
      <c r="H98" s="8">
        <v>46251</v>
      </c>
      <c r="I98" s="7">
        <v>6000</v>
      </c>
      <c r="J98" s="7">
        <v>12000</v>
      </c>
      <c r="K98" s="7">
        <v>0</v>
      </c>
      <c r="L98" s="6">
        <v>0</v>
      </c>
      <c r="M98" s="5">
        <f t="shared" ref="M98:M105" si="3">K98/$B$8</f>
        <v>0</v>
      </c>
    </row>
    <row r="99" spans="5:13" x14ac:dyDescent="0.3">
      <c r="E99" s="9">
        <v>32956</v>
      </c>
      <c r="F99" s="9" t="s">
        <v>1</v>
      </c>
      <c r="G99" s="9" t="s">
        <v>0</v>
      </c>
      <c r="H99" s="8">
        <v>46253</v>
      </c>
      <c r="I99" s="7">
        <v>4000</v>
      </c>
      <c r="J99" s="7">
        <v>4000</v>
      </c>
      <c r="K99" s="7">
        <v>0</v>
      </c>
      <c r="L99" s="6">
        <v>0</v>
      </c>
      <c r="M99" s="5">
        <f t="shared" si="3"/>
        <v>0</v>
      </c>
    </row>
    <row r="100" spans="5:13" x14ac:dyDescent="0.3">
      <c r="E100" s="9">
        <v>32977</v>
      </c>
      <c r="F100" s="9" t="s">
        <v>121</v>
      </c>
      <c r="G100" s="9" t="s">
        <v>0</v>
      </c>
      <c r="H100" s="8">
        <v>46253</v>
      </c>
      <c r="I100" s="7">
        <v>2000</v>
      </c>
      <c r="J100" s="7">
        <v>2000</v>
      </c>
      <c r="K100" s="7">
        <v>0</v>
      </c>
      <c r="L100" s="6">
        <v>0</v>
      </c>
      <c r="M100" s="5">
        <f t="shared" si="3"/>
        <v>0</v>
      </c>
    </row>
    <row r="101" spans="5:13" x14ac:dyDescent="0.3">
      <c r="E101" s="9">
        <v>32978</v>
      </c>
      <c r="F101" s="9" t="s">
        <v>125</v>
      </c>
      <c r="G101" s="9" t="s">
        <v>24</v>
      </c>
      <c r="H101" s="8">
        <v>46253</v>
      </c>
      <c r="I101" s="7">
        <v>4800</v>
      </c>
      <c r="J101" s="7">
        <v>4850</v>
      </c>
      <c r="K101" s="7">
        <v>0</v>
      </c>
      <c r="L101" s="6">
        <v>0</v>
      </c>
      <c r="M101" s="5">
        <f t="shared" si="3"/>
        <v>0</v>
      </c>
    </row>
    <row r="102" spans="5:13" x14ac:dyDescent="0.3">
      <c r="E102" s="9">
        <v>32982</v>
      </c>
      <c r="F102" s="9" t="s">
        <v>124</v>
      </c>
      <c r="G102" s="9" t="s">
        <v>64</v>
      </c>
      <c r="H102" s="8">
        <v>46255</v>
      </c>
      <c r="I102" s="7">
        <v>5600</v>
      </c>
      <c r="J102" s="7">
        <v>5600</v>
      </c>
      <c r="K102" s="7">
        <v>0</v>
      </c>
      <c r="L102" s="6">
        <v>0</v>
      </c>
      <c r="M102" s="5">
        <f t="shared" si="3"/>
        <v>0</v>
      </c>
    </row>
    <row r="103" spans="5:13" x14ac:dyDescent="0.3">
      <c r="E103" s="9">
        <v>32984</v>
      </c>
      <c r="F103" s="9" t="s">
        <v>123</v>
      </c>
      <c r="G103" s="9" t="s">
        <v>122</v>
      </c>
      <c r="H103" s="8">
        <v>46255</v>
      </c>
      <c r="I103" s="7">
        <v>6000</v>
      </c>
      <c r="J103" s="7">
        <v>6212</v>
      </c>
      <c r="K103" s="7">
        <v>0</v>
      </c>
      <c r="L103" s="6">
        <v>0</v>
      </c>
      <c r="M103" s="5">
        <f t="shared" si="3"/>
        <v>0</v>
      </c>
    </row>
    <row r="104" spans="5:13" x14ac:dyDescent="0.3">
      <c r="E104" s="9">
        <v>33002</v>
      </c>
      <c r="F104" s="9" t="s">
        <v>121</v>
      </c>
      <c r="G104" s="9" t="s">
        <v>0</v>
      </c>
      <c r="H104" s="8">
        <v>46255</v>
      </c>
      <c r="I104" s="7">
        <v>2000</v>
      </c>
      <c r="J104" s="7">
        <v>2000</v>
      </c>
      <c r="K104" s="7">
        <v>0</v>
      </c>
      <c r="L104" s="6">
        <v>0</v>
      </c>
      <c r="M104" s="5">
        <f t="shared" si="3"/>
        <v>0</v>
      </c>
    </row>
    <row r="105" spans="5:13" x14ac:dyDescent="0.3">
      <c r="E105" s="9">
        <v>33013</v>
      </c>
      <c r="F105" s="9" t="s">
        <v>120</v>
      </c>
      <c r="G105" s="9" t="s">
        <v>9</v>
      </c>
      <c r="H105" s="8">
        <v>46255</v>
      </c>
      <c r="I105" s="7">
        <v>1800</v>
      </c>
      <c r="J105" s="7">
        <v>1850</v>
      </c>
      <c r="K105" s="7">
        <v>0</v>
      </c>
      <c r="L105" s="6">
        <v>0</v>
      </c>
      <c r="M105" s="5">
        <f t="shared" si="3"/>
        <v>0</v>
      </c>
    </row>
    <row r="106" spans="5:13" x14ac:dyDescent="0.3">
      <c r="H106" s="4"/>
      <c r="L106" s="3"/>
      <c r="M106" s="2"/>
    </row>
    <row r="107" spans="5:13" x14ac:dyDescent="0.3">
      <c r="H107" s="4"/>
      <c r="L107" s="3"/>
      <c r="M107" s="2"/>
    </row>
    <row r="108" spans="5:13" x14ac:dyDescent="0.3">
      <c r="H108" s="4"/>
      <c r="L108" s="3"/>
      <c r="M108" s="2"/>
    </row>
    <row r="109" spans="5:13" x14ac:dyDescent="0.3">
      <c r="H109" s="4"/>
      <c r="L109" s="3"/>
      <c r="M109" s="2"/>
    </row>
    <row r="110" spans="5:13" x14ac:dyDescent="0.3">
      <c r="H110" s="4"/>
      <c r="L110" s="3"/>
      <c r="M110" s="2"/>
    </row>
    <row r="111" spans="5:13" x14ac:dyDescent="0.3">
      <c r="H111" s="4"/>
      <c r="L111" s="3"/>
      <c r="M111" s="2"/>
    </row>
    <row r="112" spans="5:13" x14ac:dyDescent="0.3">
      <c r="H112" s="4"/>
      <c r="L112" s="3"/>
      <c r="M112" s="2"/>
    </row>
    <row r="113" spans="8:13" x14ac:dyDescent="0.3">
      <c r="H113" s="4"/>
      <c r="L113" s="3"/>
      <c r="M113" s="2"/>
    </row>
    <row r="114" spans="8:13" x14ac:dyDescent="0.3">
      <c r="H114" s="4"/>
      <c r="L114" s="3"/>
      <c r="M114" s="2"/>
    </row>
    <row r="115" spans="8:13" x14ac:dyDescent="0.3">
      <c r="H115" s="4"/>
      <c r="L115" s="3"/>
      <c r="M115" s="2"/>
    </row>
    <row r="116" spans="8:13" x14ac:dyDescent="0.3">
      <c r="H116" s="4"/>
      <c r="L116" s="3"/>
      <c r="M116" s="2"/>
    </row>
    <row r="117" spans="8:13" x14ac:dyDescent="0.3">
      <c r="H117" s="4"/>
      <c r="L117" s="3"/>
      <c r="M117" s="2"/>
    </row>
    <row r="118" spans="8:13" x14ac:dyDescent="0.3">
      <c r="H118" s="4"/>
      <c r="L118" s="3"/>
      <c r="M118" s="2"/>
    </row>
    <row r="119" spans="8:13" x14ac:dyDescent="0.3">
      <c r="H119" s="4"/>
      <c r="L119" s="3"/>
      <c r="M119" s="2"/>
    </row>
    <row r="120" spans="8:13" x14ac:dyDescent="0.3">
      <c r="H120" s="4"/>
      <c r="L120" s="3"/>
      <c r="M120" s="2"/>
    </row>
    <row r="121" spans="8:13" x14ac:dyDescent="0.3">
      <c r="H121" s="4"/>
      <c r="L121" s="3"/>
      <c r="M121" s="2"/>
    </row>
    <row r="122" spans="8:13" x14ac:dyDescent="0.3">
      <c r="H122" s="4"/>
      <c r="L122" s="3"/>
      <c r="M122" s="2"/>
    </row>
    <row r="123" spans="8:13" x14ac:dyDescent="0.3">
      <c r="H123" s="4"/>
      <c r="L123" s="3"/>
      <c r="M123" s="2"/>
    </row>
    <row r="124" spans="8:13" x14ac:dyDescent="0.3">
      <c r="H124" s="4"/>
      <c r="L124" s="3"/>
      <c r="M124" s="2"/>
    </row>
    <row r="125" spans="8:13" x14ac:dyDescent="0.3">
      <c r="H125" s="4"/>
      <c r="L125" s="3"/>
      <c r="M125" s="2"/>
    </row>
    <row r="126" spans="8:13" x14ac:dyDescent="0.3">
      <c r="H126" s="4"/>
      <c r="L126" s="3"/>
      <c r="M126" s="2"/>
    </row>
    <row r="127" spans="8:13" x14ac:dyDescent="0.3">
      <c r="H127" s="4"/>
      <c r="L127" s="3"/>
      <c r="M127" s="2"/>
    </row>
    <row r="128" spans="8:13" x14ac:dyDescent="0.3">
      <c r="H128" s="4"/>
      <c r="L128" s="3"/>
      <c r="M128" s="2"/>
    </row>
    <row r="129" spans="8:13" x14ac:dyDescent="0.3">
      <c r="H129" s="4"/>
      <c r="L129" s="3"/>
      <c r="M129" s="2"/>
    </row>
  </sheetData>
  <autoFilter ref="E1:M1" xr:uid="{ED0A2852-B90F-4E5C-9DCF-FC384D5546E0}"/>
  <mergeCells count="1">
    <mergeCell ref="A1:B1"/>
  </mergeCells>
  <conditionalFormatting sqref="E2:E1048576">
    <cfRule type="duplicateValues" dxfId="4" priority="1"/>
  </conditionalFormatting>
  <pageMargins left="0.7" right="0.7" top="0.75" bottom="0.75" header="0.3" footer="0.3"/>
  <pageSetup paperSize="9" scale="42" fitToHeight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DA7A1-B0A0-43D3-AAF5-471429DC3D4D}">
  <sheetPr>
    <tabColor rgb="FFFF0000"/>
    <pageSetUpPr fitToPage="1"/>
  </sheetPr>
  <dimension ref="A1:N129"/>
  <sheetViews>
    <sheetView tabSelected="1" zoomScaleNormal="100" workbookViewId="0">
      <selection activeCell="C25" sqref="C25"/>
    </sheetView>
  </sheetViews>
  <sheetFormatPr baseColWidth="10" defaultRowHeight="14.4" x14ac:dyDescent="0.3"/>
  <cols>
    <col min="1" max="1" width="23.88671875" bestFit="1" customWidth="1"/>
    <col min="2" max="2" width="11.21875" bestFit="1" customWidth="1"/>
    <col min="3" max="3" width="12.77734375" customWidth="1"/>
    <col min="4" max="4" width="10" style="57" bestFit="1" customWidth="1"/>
    <col min="5" max="5" width="6" style="9" bestFit="1" customWidth="1"/>
    <col min="6" max="6" width="94.88671875" bestFit="1" customWidth="1"/>
    <col min="7" max="7" width="29.33203125" bestFit="1" customWidth="1"/>
    <col min="8" max="8" width="19.33203125" bestFit="1" customWidth="1"/>
    <col min="9" max="9" width="21.33203125" style="1" bestFit="1" customWidth="1"/>
    <col min="10" max="10" width="23.5546875" style="1" bestFit="1" customWidth="1"/>
    <col min="11" max="11" width="13.44140625" style="1" bestFit="1" customWidth="1"/>
    <col min="12" max="12" width="11.6640625" bestFit="1" customWidth="1"/>
    <col min="13" max="13" width="23.21875" bestFit="1" customWidth="1"/>
    <col min="14" max="14" width="31" bestFit="1" customWidth="1"/>
  </cols>
  <sheetData>
    <row r="1" spans="1:14" x14ac:dyDescent="0.3">
      <c r="A1" s="51" t="s">
        <v>119</v>
      </c>
      <c r="B1" s="51"/>
      <c r="E1" s="23" t="s">
        <v>118</v>
      </c>
      <c r="F1" s="56" t="s">
        <v>117</v>
      </c>
      <c r="G1" s="23" t="s">
        <v>116</v>
      </c>
      <c r="H1" s="23" t="s">
        <v>115</v>
      </c>
      <c r="I1" s="23" t="s">
        <v>114</v>
      </c>
      <c r="J1" s="23" t="s">
        <v>113</v>
      </c>
      <c r="K1" s="23" t="s">
        <v>112</v>
      </c>
      <c r="L1" s="23" t="s">
        <v>111</v>
      </c>
      <c r="M1" s="23" t="s">
        <v>110</v>
      </c>
      <c r="N1" s="55" t="s">
        <v>311</v>
      </c>
    </row>
    <row r="2" spans="1:14" x14ac:dyDescent="0.3">
      <c r="A2" s="15" t="s">
        <v>109</v>
      </c>
      <c r="B2" s="8">
        <v>46255</v>
      </c>
      <c r="E2" s="9">
        <v>32692</v>
      </c>
      <c r="F2" s="32" t="s">
        <v>173</v>
      </c>
      <c r="G2" s="9" t="s">
        <v>2</v>
      </c>
      <c r="H2" s="8">
        <v>46259</v>
      </c>
      <c r="I2" s="7">
        <v>15000</v>
      </c>
      <c r="J2" s="7">
        <v>12400</v>
      </c>
      <c r="K2" s="7">
        <v>2600</v>
      </c>
      <c r="L2" s="6">
        <v>0.17299999999999999</v>
      </c>
      <c r="M2" s="12">
        <f>K2/$B$8</f>
        <v>0.12871924352690728</v>
      </c>
      <c r="N2" s="9"/>
    </row>
    <row r="3" spans="1:14" x14ac:dyDescent="0.3">
      <c r="A3" s="15" t="s">
        <v>107</v>
      </c>
      <c r="B3" s="8">
        <v>46262</v>
      </c>
      <c r="E3" s="9">
        <v>32837</v>
      </c>
      <c r="F3" s="32" t="s">
        <v>177</v>
      </c>
      <c r="G3" s="9" t="s">
        <v>176</v>
      </c>
      <c r="H3" s="8">
        <v>46255</v>
      </c>
      <c r="I3" s="7">
        <v>5000</v>
      </c>
      <c r="J3" s="7">
        <v>2450</v>
      </c>
      <c r="K3" s="7">
        <v>2550</v>
      </c>
      <c r="L3" s="6">
        <v>0.51</v>
      </c>
      <c r="M3" s="12">
        <f>K3/$B$8</f>
        <v>0.12624387345908214</v>
      </c>
      <c r="N3" s="9"/>
    </row>
    <row r="4" spans="1:14" x14ac:dyDescent="0.3">
      <c r="E4" s="9">
        <v>33044</v>
      </c>
      <c r="F4" s="32" t="s">
        <v>15</v>
      </c>
      <c r="G4" s="9" t="s">
        <v>14</v>
      </c>
      <c r="H4" s="8">
        <v>46261</v>
      </c>
      <c r="I4" s="7">
        <v>14400</v>
      </c>
      <c r="J4" s="7">
        <v>13358</v>
      </c>
      <c r="K4" s="7">
        <v>1042</v>
      </c>
      <c r="L4" s="6">
        <v>7.1999999999999995E-2</v>
      </c>
      <c r="M4" s="12">
        <f>K4/$B$8</f>
        <v>5.1586712213475917E-2</v>
      </c>
      <c r="N4" s="9"/>
    </row>
    <row r="5" spans="1:14" x14ac:dyDescent="0.3">
      <c r="A5" s="15" t="s">
        <v>105</v>
      </c>
      <c r="B5" s="9">
        <f>SUBTOTAL(3,E2:E1048576)</f>
        <v>64</v>
      </c>
      <c r="E5" s="9">
        <v>32821</v>
      </c>
      <c r="F5" s="32" t="s">
        <v>171</v>
      </c>
      <c r="G5" s="9" t="s">
        <v>170</v>
      </c>
      <c r="H5" s="8">
        <v>46255</v>
      </c>
      <c r="I5" s="7">
        <v>18000</v>
      </c>
      <c r="J5" s="7">
        <v>17000</v>
      </c>
      <c r="K5" s="7">
        <v>1000</v>
      </c>
      <c r="L5" s="6">
        <v>5.6000000000000001E-2</v>
      </c>
      <c r="M5" s="12">
        <f>K5/$B$8</f>
        <v>4.9507401356502799E-2</v>
      </c>
      <c r="N5" s="9"/>
    </row>
    <row r="6" spans="1:14" x14ac:dyDescent="0.3">
      <c r="A6" s="15" t="s">
        <v>103</v>
      </c>
      <c r="B6" s="20">
        <f>SUBTOTAL(9,I2:I167)</f>
        <v>602764</v>
      </c>
      <c r="E6" s="9">
        <v>32959</v>
      </c>
      <c r="F6" s="32" t="s">
        <v>279</v>
      </c>
      <c r="G6" s="9" t="s">
        <v>176</v>
      </c>
      <c r="H6" s="8">
        <v>46261</v>
      </c>
      <c r="I6" s="7">
        <v>20000</v>
      </c>
      <c r="J6" s="7">
        <v>19042</v>
      </c>
      <c r="K6" s="7">
        <v>958</v>
      </c>
      <c r="L6" s="6">
        <v>4.8000000000000001E-2</v>
      </c>
      <c r="M6" s="12">
        <f>K6/$B$8</f>
        <v>4.7428090499529681E-2</v>
      </c>
      <c r="N6" s="9"/>
    </row>
    <row r="7" spans="1:14" x14ac:dyDescent="0.3">
      <c r="A7" s="15" t="s">
        <v>101</v>
      </c>
      <c r="B7" s="20">
        <f>SUBTOTAL(9,J2:J167)</f>
        <v>583327</v>
      </c>
      <c r="E7" s="9">
        <v>32477</v>
      </c>
      <c r="F7" s="32" t="s">
        <v>97</v>
      </c>
      <c r="G7" s="9" t="s">
        <v>12</v>
      </c>
      <c r="H7" s="8">
        <v>46260</v>
      </c>
      <c r="I7" s="7">
        <v>24000</v>
      </c>
      <c r="J7" s="7">
        <v>23075</v>
      </c>
      <c r="K7" s="7">
        <v>925</v>
      </c>
      <c r="L7" s="6">
        <v>3.9E-2</v>
      </c>
      <c r="M7" s="5">
        <f>K7/$B$8</f>
        <v>4.5794346254765091E-2</v>
      </c>
      <c r="N7" s="9"/>
    </row>
    <row r="8" spans="1:14" x14ac:dyDescent="0.3">
      <c r="A8" s="15" t="s">
        <v>99</v>
      </c>
      <c r="B8" s="20">
        <f>SUBTOTAL(9,K2:K167)</f>
        <v>20199</v>
      </c>
      <c r="E8" s="9">
        <v>32470</v>
      </c>
      <c r="F8" s="32" t="s">
        <v>97</v>
      </c>
      <c r="G8" s="9" t="s">
        <v>12</v>
      </c>
      <c r="H8" s="8">
        <v>46255</v>
      </c>
      <c r="I8" s="7">
        <v>24000</v>
      </c>
      <c r="J8" s="7">
        <v>23125</v>
      </c>
      <c r="K8" s="7">
        <v>875</v>
      </c>
      <c r="L8" s="6">
        <v>3.5999999999999997E-2</v>
      </c>
      <c r="M8" s="5">
        <f>K8/$B$8</f>
        <v>4.3318976186939945E-2</v>
      </c>
      <c r="N8" s="9"/>
    </row>
    <row r="9" spans="1:14" x14ac:dyDescent="0.3">
      <c r="A9" s="15" t="s">
        <v>98</v>
      </c>
      <c r="B9" s="18">
        <f>B8/B6</f>
        <v>3.351062770835684E-2</v>
      </c>
      <c r="D9" s="58"/>
      <c r="E9" s="9">
        <v>32795</v>
      </c>
      <c r="F9" s="32" t="s">
        <v>174</v>
      </c>
      <c r="G9" s="9" t="s">
        <v>71</v>
      </c>
      <c r="H9" s="8">
        <v>46255</v>
      </c>
      <c r="I9" s="7">
        <v>24000</v>
      </c>
      <c r="J9" s="7">
        <v>23150</v>
      </c>
      <c r="K9" s="7">
        <v>850</v>
      </c>
      <c r="L9" s="6">
        <v>3.5000000000000003E-2</v>
      </c>
      <c r="M9" s="5">
        <f>K9/$B$8</f>
        <v>4.2081291153027375E-2</v>
      </c>
      <c r="N9" s="9"/>
    </row>
    <row r="10" spans="1:14" x14ac:dyDescent="0.3">
      <c r="A10" s="15" t="s">
        <v>96</v>
      </c>
      <c r="B10" s="9">
        <f>COUNTIF(L:L,"&gt;=5%")</f>
        <v>12</v>
      </c>
      <c r="D10" s="53"/>
      <c r="E10" s="9">
        <v>32963</v>
      </c>
      <c r="F10" s="32" t="s">
        <v>279</v>
      </c>
      <c r="G10" s="9" t="s">
        <v>176</v>
      </c>
      <c r="H10" s="8">
        <v>46261</v>
      </c>
      <c r="I10" s="7">
        <v>24000</v>
      </c>
      <c r="J10" s="7">
        <v>23207</v>
      </c>
      <c r="K10" s="7">
        <v>793</v>
      </c>
      <c r="L10" s="6">
        <v>3.3000000000000002E-2</v>
      </c>
      <c r="M10" s="5">
        <f>K10/$B$8</f>
        <v>3.9259369275706717E-2</v>
      </c>
      <c r="N10" s="9"/>
    </row>
    <row r="11" spans="1:14" x14ac:dyDescent="0.3">
      <c r="A11" s="15" t="s">
        <v>95</v>
      </c>
      <c r="B11" s="14">
        <f>B10/B5</f>
        <v>0.1875</v>
      </c>
      <c r="E11" s="9">
        <v>33009</v>
      </c>
      <c r="F11" s="32" t="s">
        <v>308</v>
      </c>
      <c r="G11" s="9" t="s">
        <v>2</v>
      </c>
      <c r="H11" s="8">
        <v>46260</v>
      </c>
      <c r="I11" s="7">
        <v>8000</v>
      </c>
      <c r="J11" s="7">
        <v>7224</v>
      </c>
      <c r="K11" s="7">
        <v>776</v>
      </c>
      <c r="L11" s="6">
        <v>9.7000000000000003E-2</v>
      </c>
      <c r="M11" s="5">
        <f>K11/$B$8</f>
        <v>3.8417743452646168E-2</v>
      </c>
      <c r="N11" s="9"/>
    </row>
    <row r="12" spans="1:14" x14ac:dyDescent="0.3">
      <c r="E12" s="9">
        <v>32464</v>
      </c>
      <c r="F12" s="32" t="s">
        <v>172</v>
      </c>
      <c r="G12" s="9" t="s">
        <v>12</v>
      </c>
      <c r="H12" s="8">
        <v>46255</v>
      </c>
      <c r="I12" s="7">
        <v>18000</v>
      </c>
      <c r="J12" s="7">
        <v>17300</v>
      </c>
      <c r="K12" s="7">
        <v>700</v>
      </c>
      <c r="L12" s="6">
        <v>3.9E-2</v>
      </c>
      <c r="M12" s="5">
        <f>K12/$B$8</f>
        <v>3.4655180949551959E-2</v>
      </c>
      <c r="N12" s="9"/>
    </row>
    <row r="13" spans="1:14" x14ac:dyDescent="0.3">
      <c r="E13" s="9">
        <v>32822</v>
      </c>
      <c r="F13" s="32" t="s">
        <v>171</v>
      </c>
      <c r="G13" s="9" t="s">
        <v>170</v>
      </c>
      <c r="H13" s="8">
        <v>46255</v>
      </c>
      <c r="I13" s="7">
        <v>16000</v>
      </c>
      <c r="J13" s="7">
        <v>15500</v>
      </c>
      <c r="K13" s="7">
        <v>500</v>
      </c>
      <c r="L13" s="6">
        <v>3.1E-2</v>
      </c>
      <c r="M13" s="5">
        <f>K13/$B$8</f>
        <v>2.4753700678251399E-2</v>
      </c>
      <c r="N13" s="9"/>
    </row>
    <row r="14" spans="1:14" x14ac:dyDescent="0.3">
      <c r="A14" s="26" t="s">
        <v>178</v>
      </c>
      <c r="B14" s="27">
        <f>B8-'[1]24-08'!B8</f>
        <v>-30642</v>
      </c>
      <c r="E14" s="9">
        <v>32962</v>
      </c>
      <c r="F14" s="32" t="s">
        <v>279</v>
      </c>
      <c r="G14" s="9" t="s">
        <v>176</v>
      </c>
      <c r="H14" s="8">
        <v>46260</v>
      </c>
      <c r="I14" s="7">
        <v>16000</v>
      </c>
      <c r="J14" s="7">
        <v>15500</v>
      </c>
      <c r="K14" s="7">
        <v>500</v>
      </c>
      <c r="L14" s="6">
        <v>3.1E-2</v>
      </c>
      <c r="M14" s="5">
        <f>K14/$B$8</f>
        <v>2.4753700678251399E-2</v>
      </c>
      <c r="N14" s="9"/>
    </row>
    <row r="15" spans="1:14" x14ac:dyDescent="0.3">
      <c r="A15" s="26" t="s">
        <v>178</v>
      </c>
      <c r="B15" s="25">
        <f>B9-'[1]24-08'!B9</f>
        <v>-2.1610350919131771E-2</v>
      </c>
      <c r="E15" s="9">
        <v>32994</v>
      </c>
      <c r="F15" s="32" t="s">
        <v>179</v>
      </c>
      <c r="G15" s="9" t="s">
        <v>12</v>
      </c>
      <c r="H15" s="8">
        <v>46258</v>
      </c>
      <c r="I15" s="7">
        <v>29948</v>
      </c>
      <c r="J15" s="7">
        <v>29450</v>
      </c>
      <c r="K15" s="7">
        <v>498</v>
      </c>
      <c r="L15" s="6">
        <v>1.7000000000000001E-2</v>
      </c>
      <c r="M15" s="5">
        <f>K15/$B$8</f>
        <v>2.4654685875538394E-2</v>
      </c>
      <c r="N15" s="9"/>
    </row>
    <row r="16" spans="1:14" x14ac:dyDescent="0.3">
      <c r="E16" s="9">
        <v>32885</v>
      </c>
      <c r="F16" s="32" t="s">
        <v>310</v>
      </c>
      <c r="G16" s="9" t="s">
        <v>79</v>
      </c>
      <c r="H16" s="8">
        <v>46262</v>
      </c>
      <c r="I16" s="7">
        <v>10563</v>
      </c>
      <c r="J16" s="7">
        <v>10125</v>
      </c>
      <c r="K16" s="7">
        <v>438</v>
      </c>
      <c r="L16" s="6">
        <v>4.1000000000000002E-2</v>
      </c>
      <c r="M16" s="5">
        <f>K16/$B$8</f>
        <v>2.1684241794148226E-2</v>
      </c>
      <c r="N16" s="9"/>
    </row>
    <row r="17" spans="5:14" x14ac:dyDescent="0.3">
      <c r="E17" s="9">
        <v>33042</v>
      </c>
      <c r="F17" s="32" t="s">
        <v>308</v>
      </c>
      <c r="G17" s="9" t="s">
        <v>2</v>
      </c>
      <c r="H17" s="8">
        <v>46262</v>
      </c>
      <c r="I17" s="7">
        <v>3904</v>
      </c>
      <c r="J17" s="7">
        <v>3510</v>
      </c>
      <c r="K17" s="7">
        <v>394</v>
      </c>
      <c r="L17" s="6">
        <v>0.10100000000000001</v>
      </c>
      <c r="M17" s="5">
        <f>K17/$B$8</f>
        <v>1.9505916134462103E-2</v>
      </c>
      <c r="N17" s="9"/>
    </row>
    <row r="18" spans="5:14" x14ac:dyDescent="0.3">
      <c r="E18" s="9">
        <v>33059</v>
      </c>
      <c r="F18" s="32" t="s">
        <v>60</v>
      </c>
      <c r="G18" s="9" t="s">
        <v>309</v>
      </c>
      <c r="H18" s="8">
        <v>46262</v>
      </c>
      <c r="I18" s="7">
        <v>7600</v>
      </c>
      <c r="J18" s="7">
        <v>7251</v>
      </c>
      <c r="K18" s="7">
        <v>349</v>
      </c>
      <c r="L18" s="6">
        <v>4.5999999999999999E-2</v>
      </c>
      <c r="M18" s="5">
        <f>K18/$B$8</f>
        <v>1.7278083073419475E-2</v>
      </c>
      <c r="N18" s="9"/>
    </row>
    <row r="19" spans="5:14" x14ac:dyDescent="0.3">
      <c r="E19" s="9">
        <v>33043</v>
      </c>
      <c r="F19" s="32" t="s">
        <v>308</v>
      </c>
      <c r="G19" s="9" t="s">
        <v>2</v>
      </c>
      <c r="H19" s="8">
        <v>46262</v>
      </c>
      <c r="I19" s="7">
        <v>4100</v>
      </c>
      <c r="J19" s="7">
        <v>3753</v>
      </c>
      <c r="K19" s="7">
        <v>347</v>
      </c>
      <c r="L19" s="6">
        <v>8.5000000000000006E-2</v>
      </c>
      <c r="M19" s="5">
        <f>K19/$B$8</f>
        <v>1.717906827070647E-2</v>
      </c>
      <c r="N19" s="9"/>
    </row>
    <row r="20" spans="5:14" x14ac:dyDescent="0.3">
      <c r="E20" s="9">
        <v>32941</v>
      </c>
      <c r="F20" s="32" t="s">
        <v>168</v>
      </c>
      <c r="G20" s="9" t="s">
        <v>166</v>
      </c>
      <c r="H20" s="8">
        <v>46255</v>
      </c>
      <c r="I20" s="7">
        <v>25200</v>
      </c>
      <c r="J20" s="7">
        <v>24882</v>
      </c>
      <c r="K20" s="7">
        <v>318</v>
      </c>
      <c r="L20" s="6">
        <v>1.2999999999999999E-2</v>
      </c>
      <c r="M20" s="5">
        <f>K20/$B$8</f>
        <v>1.574335363136789E-2</v>
      </c>
      <c r="N20" s="9"/>
    </row>
    <row r="21" spans="5:14" x14ac:dyDescent="0.3">
      <c r="E21" s="9">
        <v>32942</v>
      </c>
      <c r="F21" s="32" t="s">
        <v>167</v>
      </c>
      <c r="G21" s="9" t="s">
        <v>166</v>
      </c>
      <c r="H21" s="8">
        <v>46255</v>
      </c>
      <c r="I21" s="7">
        <v>18000</v>
      </c>
      <c r="J21" s="7">
        <v>17697</v>
      </c>
      <c r="K21" s="7">
        <v>303</v>
      </c>
      <c r="L21" s="6">
        <v>1.7000000000000001E-2</v>
      </c>
      <c r="M21" s="5">
        <f>K21/$B$8</f>
        <v>1.5000742611020348E-2</v>
      </c>
      <c r="N21" s="9"/>
    </row>
    <row r="22" spans="5:14" x14ac:dyDescent="0.3">
      <c r="E22" s="9">
        <v>32995</v>
      </c>
      <c r="F22" s="32" t="s">
        <v>179</v>
      </c>
      <c r="G22" s="9" t="s">
        <v>12</v>
      </c>
      <c r="H22" s="8">
        <v>46258</v>
      </c>
      <c r="I22" s="7">
        <v>30009</v>
      </c>
      <c r="J22" s="7">
        <v>29725</v>
      </c>
      <c r="K22" s="7">
        <v>284</v>
      </c>
      <c r="L22" s="6">
        <v>8.9999999999999993E-3</v>
      </c>
      <c r="M22" s="5">
        <f>K22/$B$8</f>
        <v>1.4060101985246794E-2</v>
      </c>
      <c r="N22" s="9"/>
    </row>
    <row r="23" spans="5:14" x14ac:dyDescent="0.3">
      <c r="E23" s="9">
        <v>33046</v>
      </c>
      <c r="F23" s="32" t="s">
        <v>15</v>
      </c>
      <c r="G23" s="9" t="s">
        <v>14</v>
      </c>
      <c r="H23" s="8">
        <v>46261</v>
      </c>
      <c r="I23" s="7">
        <v>14400</v>
      </c>
      <c r="J23" s="7">
        <v>14117</v>
      </c>
      <c r="K23" s="7">
        <v>283</v>
      </c>
      <c r="L23" s="6">
        <v>0.02</v>
      </c>
      <c r="M23" s="5">
        <f>K23/$B$8</f>
        <v>1.4010594583890291E-2</v>
      </c>
      <c r="N23" s="9"/>
    </row>
    <row r="24" spans="5:14" x14ac:dyDescent="0.3">
      <c r="E24" s="9">
        <v>32838</v>
      </c>
      <c r="F24" s="32" t="s">
        <v>177</v>
      </c>
      <c r="G24" s="9" t="s">
        <v>176</v>
      </c>
      <c r="H24" s="8">
        <v>46259</v>
      </c>
      <c r="I24" s="7">
        <v>4000</v>
      </c>
      <c r="J24" s="7">
        <v>3760</v>
      </c>
      <c r="K24" s="7">
        <v>240</v>
      </c>
      <c r="L24" s="6">
        <v>0.06</v>
      </c>
      <c r="M24" s="5">
        <f>K24/$B$8</f>
        <v>1.1881776325560671E-2</v>
      </c>
      <c r="N24" s="9"/>
    </row>
    <row r="25" spans="5:14" x14ac:dyDescent="0.3">
      <c r="E25" s="9">
        <v>33045</v>
      </c>
      <c r="F25" s="32" t="s">
        <v>15</v>
      </c>
      <c r="G25" s="9" t="s">
        <v>14</v>
      </c>
      <c r="H25" s="8">
        <v>46261</v>
      </c>
      <c r="I25" s="7">
        <v>14400</v>
      </c>
      <c r="J25" s="7">
        <v>14170</v>
      </c>
      <c r="K25" s="7">
        <v>230</v>
      </c>
      <c r="L25" s="6">
        <v>1.6E-2</v>
      </c>
      <c r="M25" s="5">
        <f>K25/$B$8</f>
        <v>1.1386702311995643E-2</v>
      </c>
      <c r="N25" s="9"/>
    </row>
    <row r="26" spans="5:14" x14ac:dyDescent="0.3">
      <c r="E26" s="9">
        <v>33054</v>
      </c>
      <c r="F26" s="32" t="s">
        <v>146</v>
      </c>
      <c r="G26" s="9" t="s">
        <v>307</v>
      </c>
      <c r="H26" s="8">
        <v>46262</v>
      </c>
      <c r="I26" s="7">
        <v>4400</v>
      </c>
      <c r="J26" s="7">
        <v>4174</v>
      </c>
      <c r="K26" s="7">
        <v>226</v>
      </c>
      <c r="L26" s="6">
        <v>5.0999999999999997E-2</v>
      </c>
      <c r="M26" s="5">
        <f>K26/$B$8</f>
        <v>1.1188672706569633E-2</v>
      </c>
      <c r="N26" s="9"/>
    </row>
    <row r="27" spans="5:14" x14ac:dyDescent="0.3">
      <c r="E27" s="9">
        <v>32985</v>
      </c>
      <c r="F27" s="32" t="s">
        <v>162</v>
      </c>
      <c r="G27" s="9" t="s">
        <v>122</v>
      </c>
      <c r="H27" s="8">
        <v>46255</v>
      </c>
      <c r="I27" s="7">
        <v>2100</v>
      </c>
      <c r="J27" s="7">
        <v>1899</v>
      </c>
      <c r="K27" s="7">
        <v>201</v>
      </c>
      <c r="L27" s="24">
        <v>9.6000000000000002E-2</v>
      </c>
      <c r="M27" s="5">
        <f>K27/$B$8</f>
        <v>9.9509876726570617E-3</v>
      </c>
      <c r="N27" s="9"/>
    </row>
    <row r="28" spans="5:14" x14ac:dyDescent="0.3">
      <c r="E28" s="9">
        <v>32961</v>
      </c>
      <c r="F28" s="32" t="s">
        <v>279</v>
      </c>
      <c r="G28" s="9" t="s">
        <v>176</v>
      </c>
      <c r="H28" s="8">
        <v>46260</v>
      </c>
      <c r="I28" s="7">
        <v>16000</v>
      </c>
      <c r="J28" s="7">
        <v>15800</v>
      </c>
      <c r="K28" s="7">
        <v>200</v>
      </c>
      <c r="L28" s="6">
        <v>1.2999999999999999E-2</v>
      </c>
      <c r="M28" s="5">
        <f>K28/$B$8</f>
        <v>9.9014802713005591E-3</v>
      </c>
      <c r="N28" s="9"/>
    </row>
    <row r="29" spans="5:14" x14ac:dyDescent="0.3">
      <c r="E29" s="9">
        <v>33047</v>
      </c>
      <c r="F29" s="32" t="s">
        <v>159</v>
      </c>
      <c r="G29" s="9" t="s">
        <v>14</v>
      </c>
      <c r="H29" s="8">
        <v>46262</v>
      </c>
      <c r="I29" s="7">
        <v>9500</v>
      </c>
      <c r="J29" s="7">
        <v>9324</v>
      </c>
      <c r="K29" s="7">
        <v>176</v>
      </c>
      <c r="L29" s="6">
        <v>1.9E-2</v>
      </c>
      <c r="M29" s="5">
        <f>K29/$B$8</f>
        <v>8.7133026387444922E-3</v>
      </c>
      <c r="N29" s="9"/>
    </row>
    <row r="30" spans="5:14" x14ac:dyDescent="0.3">
      <c r="E30" s="9">
        <v>33018</v>
      </c>
      <c r="F30" s="32" t="s">
        <v>306</v>
      </c>
      <c r="G30" s="9" t="s">
        <v>30</v>
      </c>
      <c r="H30" s="8">
        <v>46260</v>
      </c>
      <c r="I30" s="7">
        <v>11400</v>
      </c>
      <c r="J30" s="7">
        <v>11251</v>
      </c>
      <c r="K30" s="7">
        <v>149</v>
      </c>
      <c r="L30" s="6">
        <v>1.2999999999999999E-2</v>
      </c>
      <c r="M30" s="5">
        <f>K30/$B$8</f>
        <v>7.3766028021189168E-3</v>
      </c>
      <c r="N30" s="9"/>
    </row>
    <row r="31" spans="5:14" x14ac:dyDescent="0.3">
      <c r="E31" s="9">
        <v>33048</v>
      </c>
      <c r="F31" s="32" t="s">
        <v>159</v>
      </c>
      <c r="G31" s="9" t="s">
        <v>14</v>
      </c>
      <c r="H31" s="8">
        <v>46262</v>
      </c>
      <c r="I31" s="7">
        <v>9500</v>
      </c>
      <c r="J31" s="7">
        <v>9351</v>
      </c>
      <c r="K31" s="7">
        <v>149</v>
      </c>
      <c r="L31" s="6">
        <v>1.6E-2</v>
      </c>
      <c r="M31" s="5">
        <f>K31/$B$8</f>
        <v>7.3766028021189168E-3</v>
      </c>
      <c r="N31" s="9"/>
    </row>
    <row r="32" spans="5:14" x14ac:dyDescent="0.3">
      <c r="E32" s="9">
        <v>33051</v>
      </c>
      <c r="F32" s="32" t="s">
        <v>305</v>
      </c>
      <c r="G32" s="9" t="s">
        <v>147</v>
      </c>
      <c r="H32" s="8">
        <v>46262</v>
      </c>
      <c r="I32" s="7">
        <v>4400</v>
      </c>
      <c r="J32" s="7">
        <v>4259</v>
      </c>
      <c r="K32" s="7">
        <v>141</v>
      </c>
      <c r="L32" s="6">
        <v>3.2000000000000001E-2</v>
      </c>
      <c r="M32" s="5">
        <f>K32/$B$8</f>
        <v>6.9805435912668945E-3</v>
      </c>
      <c r="N32" s="9"/>
    </row>
    <row r="33" spans="5:14" x14ac:dyDescent="0.3">
      <c r="E33" s="9">
        <v>33060</v>
      </c>
      <c r="F33" s="32" t="s">
        <v>304</v>
      </c>
      <c r="G33" s="9" t="s">
        <v>14</v>
      </c>
      <c r="H33" s="8">
        <v>46262</v>
      </c>
      <c r="I33" s="7">
        <v>2200</v>
      </c>
      <c r="J33" s="7">
        <v>2062</v>
      </c>
      <c r="K33" s="7">
        <v>138</v>
      </c>
      <c r="L33" s="6">
        <v>6.3E-2</v>
      </c>
      <c r="M33" s="5">
        <f>K33/$B$8</f>
        <v>6.8320213871973859E-3</v>
      </c>
      <c r="N33" s="9"/>
    </row>
    <row r="34" spans="5:14" x14ac:dyDescent="0.3">
      <c r="E34" s="9">
        <v>33065</v>
      </c>
      <c r="F34" s="32" t="s">
        <v>37</v>
      </c>
      <c r="G34" s="9" t="s">
        <v>14</v>
      </c>
      <c r="H34" s="8">
        <v>46262</v>
      </c>
      <c r="I34" s="7">
        <v>1100</v>
      </c>
      <c r="J34" s="7">
        <v>979</v>
      </c>
      <c r="K34" s="7">
        <v>121</v>
      </c>
      <c r="L34" s="24">
        <v>0.11</v>
      </c>
      <c r="M34" s="5">
        <f>K34/$B$8</f>
        <v>5.9903955641368387E-3</v>
      </c>
      <c r="N34" s="9"/>
    </row>
    <row r="35" spans="5:14" x14ac:dyDescent="0.3">
      <c r="E35" s="9">
        <v>33008</v>
      </c>
      <c r="F35" s="32" t="s">
        <v>229</v>
      </c>
      <c r="G35" s="9" t="s">
        <v>2</v>
      </c>
      <c r="H35" s="8">
        <v>46258</v>
      </c>
      <c r="I35" s="7">
        <v>6000</v>
      </c>
      <c r="J35" s="7">
        <v>5896</v>
      </c>
      <c r="K35" s="7">
        <v>104</v>
      </c>
      <c r="L35" s="6">
        <v>1.7000000000000001E-2</v>
      </c>
      <c r="M35" s="5">
        <f>K35/$B$8</f>
        <v>5.1487697410762907E-3</v>
      </c>
      <c r="N35" s="9"/>
    </row>
    <row r="36" spans="5:14" x14ac:dyDescent="0.3">
      <c r="E36" s="9">
        <v>33050</v>
      </c>
      <c r="F36" s="32" t="s">
        <v>304</v>
      </c>
      <c r="G36" s="9" t="s">
        <v>14</v>
      </c>
      <c r="H36" s="8">
        <v>46262</v>
      </c>
      <c r="I36" s="7">
        <v>4400</v>
      </c>
      <c r="J36" s="7">
        <v>4308</v>
      </c>
      <c r="K36" s="7">
        <v>92</v>
      </c>
      <c r="L36" s="6">
        <v>2.1000000000000001E-2</v>
      </c>
      <c r="M36" s="5">
        <f>K36/$B$8</f>
        <v>4.5546809247982573E-3</v>
      </c>
      <c r="N36" s="9"/>
    </row>
    <row r="37" spans="5:14" x14ac:dyDescent="0.3">
      <c r="E37" s="9">
        <v>33007</v>
      </c>
      <c r="F37" s="32" t="s">
        <v>193</v>
      </c>
      <c r="G37" s="9" t="s">
        <v>192</v>
      </c>
      <c r="H37" s="8">
        <v>46260</v>
      </c>
      <c r="I37" s="7">
        <v>3120</v>
      </c>
      <c r="J37" s="7">
        <v>3035</v>
      </c>
      <c r="K37" s="7">
        <v>85</v>
      </c>
      <c r="L37" s="6">
        <v>2.7E-2</v>
      </c>
      <c r="M37" s="5">
        <f>K37/$B$8</f>
        <v>4.2081291153027375E-3</v>
      </c>
      <c r="N37" s="9"/>
    </row>
    <row r="38" spans="5:14" x14ac:dyDescent="0.3">
      <c r="E38" s="9">
        <v>33049</v>
      </c>
      <c r="F38" s="32" t="s">
        <v>304</v>
      </c>
      <c r="G38" s="9" t="s">
        <v>14</v>
      </c>
      <c r="H38" s="8">
        <v>46262</v>
      </c>
      <c r="I38" s="7">
        <v>4400</v>
      </c>
      <c r="J38" s="7">
        <v>4315</v>
      </c>
      <c r="K38" s="7">
        <v>85</v>
      </c>
      <c r="L38" s="6">
        <v>1.9E-2</v>
      </c>
      <c r="M38" s="5">
        <f>K38/$B$8</f>
        <v>4.2081291153027375E-3</v>
      </c>
      <c r="N38" s="9"/>
    </row>
    <row r="39" spans="5:14" x14ac:dyDescent="0.3">
      <c r="E39" s="9">
        <v>33014</v>
      </c>
      <c r="F39" s="32" t="s">
        <v>155</v>
      </c>
      <c r="G39" s="9" t="s">
        <v>26</v>
      </c>
      <c r="H39" s="8">
        <v>46255</v>
      </c>
      <c r="I39" s="7">
        <v>3800</v>
      </c>
      <c r="J39" s="7">
        <v>3717</v>
      </c>
      <c r="K39" s="7">
        <v>83</v>
      </c>
      <c r="L39" s="6">
        <v>2.1999999999999999E-2</v>
      </c>
      <c r="M39" s="5">
        <f>K39/$B$8</f>
        <v>4.1091143125897324E-3</v>
      </c>
      <c r="N39" s="9"/>
    </row>
    <row r="40" spans="5:14" x14ac:dyDescent="0.3">
      <c r="E40" s="9">
        <v>33030</v>
      </c>
      <c r="F40" s="32" t="s">
        <v>60</v>
      </c>
      <c r="G40" s="9" t="s">
        <v>12</v>
      </c>
      <c r="H40" s="8">
        <v>46258</v>
      </c>
      <c r="I40" s="7">
        <v>1900</v>
      </c>
      <c r="J40" s="7">
        <v>1830</v>
      </c>
      <c r="K40" s="7">
        <v>70</v>
      </c>
      <c r="L40" s="6">
        <v>3.6999999999999998E-2</v>
      </c>
      <c r="M40" s="5">
        <f>K40/$B$8</f>
        <v>3.4655180949551959E-3</v>
      </c>
      <c r="N40" s="9"/>
    </row>
    <row r="41" spans="5:14" x14ac:dyDescent="0.3">
      <c r="E41" s="9">
        <v>33019</v>
      </c>
      <c r="F41" s="32" t="s">
        <v>38</v>
      </c>
      <c r="G41" s="9" t="s">
        <v>28</v>
      </c>
      <c r="H41" s="8">
        <v>46259</v>
      </c>
      <c r="I41" s="7">
        <v>3800</v>
      </c>
      <c r="J41" s="7">
        <v>3731</v>
      </c>
      <c r="K41" s="7">
        <v>69</v>
      </c>
      <c r="L41" s="6">
        <v>1.7999999999999999E-2</v>
      </c>
      <c r="M41" s="5">
        <f>K41/$B$8</f>
        <v>3.4160106935986929E-3</v>
      </c>
      <c r="N41" s="9"/>
    </row>
    <row r="42" spans="5:14" x14ac:dyDescent="0.3">
      <c r="E42" s="9">
        <v>33006</v>
      </c>
      <c r="F42" s="32" t="s">
        <v>193</v>
      </c>
      <c r="G42" s="9" t="s">
        <v>192</v>
      </c>
      <c r="H42" s="8">
        <v>46260</v>
      </c>
      <c r="I42" s="7">
        <v>3120</v>
      </c>
      <c r="J42" s="7">
        <v>3056</v>
      </c>
      <c r="K42" s="7">
        <v>64</v>
      </c>
      <c r="L42" s="6">
        <v>2.1000000000000001E-2</v>
      </c>
      <c r="M42" s="5">
        <f>K42/$B$8</f>
        <v>3.1684736868161792E-3</v>
      </c>
      <c r="N42" s="9"/>
    </row>
    <row r="43" spans="5:14" x14ac:dyDescent="0.3">
      <c r="E43" s="9">
        <v>33004</v>
      </c>
      <c r="F43" s="32" t="s">
        <v>303</v>
      </c>
      <c r="G43" s="9" t="s">
        <v>135</v>
      </c>
      <c r="H43" s="8">
        <v>46259</v>
      </c>
      <c r="I43" s="7">
        <v>3800</v>
      </c>
      <c r="J43" s="7">
        <v>3738</v>
      </c>
      <c r="K43" s="7">
        <v>62</v>
      </c>
      <c r="L43" s="6">
        <v>1.6E-2</v>
      </c>
      <c r="M43" s="5">
        <f>K43/$B$8</f>
        <v>3.0694588841031732E-3</v>
      </c>
      <c r="N43" s="9"/>
    </row>
    <row r="44" spans="5:14" x14ac:dyDescent="0.3">
      <c r="E44" s="9">
        <v>33005</v>
      </c>
      <c r="F44" s="32" t="s">
        <v>146</v>
      </c>
      <c r="G44" s="9" t="s">
        <v>145</v>
      </c>
      <c r="H44" s="8">
        <v>46255</v>
      </c>
      <c r="I44" s="7">
        <v>3300</v>
      </c>
      <c r="J44" s="7">
        <v>3244</v>
      </c>
      <c r="K44" s="7">
        <v>56</v>
      </c>
      <c r="L44" s="6">
        <v>1.7000000000000001E-2</v>
      </c>
      <c r="M44" s="5">
        <f>K44/$B$8</f>
        <v>2.7724144759641565E-3</v>
      </c>
      <c r="N44" s="9"/>
    </row>
    <row r="45" spans="5:14" x14ac:dyDescent="0.3">
      <c r="E45" s="9">
        <v>33056</v>
      </c>
      <c r="F45" s="32" t="s">
        <v>198</v>
      </c>
      <c r="G45" s="9" t="s">
        <v>197</v>
      </c>
      <c r="H45" s="8">
        <v>46262</v>
      </c>
      <c r="I45" s="7">
        <v>2100</v>
      </c>
      <c r="J45" s="7">
        <v>2048</v>
      </c>
      <c r="K45" s="7">
        <v>52</v>
      </c>
      <c r="L45" s="6">
        <v>2.5000000000000001E-2</v>
      </c>
      <c r="M45" s="5">
        <f>K45/$B$8</f>
        <v>2.5743848705381453E-3</v>
      </c>
      <c r="N45" s="9"/>
    </row>
    <row r="46" spans="5:14" x14ac:dyDescent="0.3">
      <c r="E46" s="9">
        <v>33035</v>
      </c>
      <c r="F46" s="32" t="s">
        <v>302</v>
      </c>
      <c r="G46" s="9" t="s">
        <v>301</v>
      </c>
      <c r="H46" s="8">
        <v>46260</v>
      </c>
      <c r="I46" s="7">
        <v>2200</v>
      </c>
      <c r="J46" s="7">
        <v>2152</v>
      </c>
      <c r="K46" s="7">
        <v>48</v>
      </c>
      <c r="L46" s="6">
        <v>2.1999999999999999E-2</v>
      </c>
      <c r="M46" s="5">
        <f>K46/$B$8</f>
        <v>2.3763552651121342E-3</v>
      </c>
      <c r="N46" s="9"/>
    </row>
    <row r="47" spans="5:14" x14ac:dyDescent="0.3">
      <c r="E47" s="9">
        <v>33017</v>
      </c>
      <c r="F47" s="32" t="s">
        <v>134</v>
      </c>
      <c r="G47" s="9" t="s">
        <v>295</v>
      </c>
      <c r="H47" s="8">
        <v>46259</v>
      </c>
      <c r="I47" s="7">
        <v>2200</v>
      </c>
      <c r="J47" s="7">
        <v>2166</v>
      </c>
      <c r="K47" s="7">
        <v>34</v>
      </c>
      <c r="L47" s="6">
        <v>1.4999999999999999E-2</v>
      </c>
      <c r="M47" s="5">
        <f>K47/$B$8</f>
        <v>1.6832516461210952E-3</v>
      </c>
      <c r="N47" s="9"/>
    </row>
    <row r="48" spans="5:14" x14ac:dyDescent="0.3">
      <c r="E48" s="9">
        <v>33003</v>
      </c>
      <c r="F48" s="32" t="s">
        <v>134</v>
      </c>
      <c r="G48" s="9" t="s">
        <v>135</v>
      </c>
      <c r="H48" s="8">
        <v>46255</v>
      </c>
      <c r="I48" s="7">
        <v>2200</v>
      </c>
      <c r="J48" s="7">
        <v>2183</v>
      </c>
      <c r="K48" s="7">
        <v>17</v>
      </c>
      <c r="L48" s="6">
        <v>8.0000000000000002E-3</v>
      </c>
      <c r="M48" s="5">
        <f>K48/$B$8</f>
        <v>8.4162582306054759E-4</v>
      </c>
      <c r="N48" s="9"/>
    </row>
    <row r="49" spans="5:14" x14ac:dyDescent="0.3">
      <c r="E49" s="9">
        <v>33015</v>
      </c>
      <c r="F49" s="32" t="s">
        <v>134</v>
      </c>
      <c r="G49" s="9" t="s">
        <v>133</v>
      </c>
      <c r="H49" s="8">
        <v>46255</v>
      </c>
      <c r="I49" s="7">
        <v>1100</v>
      </c>
      <c r="J49" s="7">
        <v>1086</v>
      </c>
      <c r="K49" s="7">
        <v>14</v>
      </c>
      <c r="L49" s="6">
        <v>1.2999999999999999E-2</v>
      </c>
      <c r="M49" s="5">
        <f>K49/$B$8</f>
        <v>6.9310361899103912E-4</v>
      </c>
      <c r="N49" s="9"/>
    </row>
    <row r="50" spans="5:14" x14ac:dyDescent="0.3">
      <c r="E50" s="9">
        <v>33039</v>
      </c>
      <c r="F50" s="32" t="s">
        <v>141</v>
      </c>
      <c r="G50" s="9" t="s">
        <v>2</v>
      </c>
      <c r="H50" s="8">
        <v>46262</v>
      </c>
      <c r="I50" s="7">
        <v>1600</v>
      </c>
      <c r="J50" s="7">
        <v>1590</v>
      </c>
      <c r="K50" s="7">
        <v>10</v>
      </c>
      <c r="L50" s="6">
        <v>6.0000000000000001E-3</v>
      </c>
      <c r="M50" s="5">
        <f>K50/$B$8</f>
        <v>4.9507401356502798E-4</v>
      </c>
      <c r="N50" s="9"/>
    </row>
    <row r="51" spans="5:14" x14ac:dyDescent="0.3">
      <c r="E51" s="9">
        <v>32922</v>
      </c>
      <c r="F51" s="32" t="s">
        <v>300</v>
      </c>
      <c r="G51" s="9" t="s">
        <v>299</v>
      </c>
      <c r="H51" s="8">
        <v>46259</v>
      </c>
      <c r="I51" s="7">
        <v>3600</v>
      </c>
      <c r="J51" s="7">
        <v>3600</v>
      </c>
      <c r="K51" s="7">
        <v>0</v>
      </c>
      <c r="L51" s="6">
        <v>0</v>
      </c>
      <c r="M51" s="5">
        <f>K51/$B$8</f>
        <v>0</v>
      </c>
      <c r="N51" s="9"/>
    </row>
    <row r="52" spans="5:14" x14ac:dyDescent="0.3">
      <c r="E52" s="9">
        <v>32982</v>
      </c>
      <c r="F52" s="32" t="s">
        <v>124</v>
      </c>
      <c r="G52" s="9" t="s">
        <v>64</v>
      </c>
      <c r="H52" s="8">
        <v>46255</v>
      </c>
      <c r="I52" s="7">
        <v>5600</v>
      </c>
      <c r="J52" s="7">
        <v>5600</v>
      </c>
      <c r="K52" s="7">
        <v>0</v>
      </c>
      <c r="L52" s="6">
        <v>0</v>
      </c>
      <c r="M52" s="5">
        <f>K52/$B$8</f>
        <v>0</v>
      </c>
      <c r="N52" s="9"/>
    </row>
    <row r="53" spans="5:14" x14ac:dyDescent="0.3">
      <c r="E53" s="9">
        <v>32984</v>
      </c>
      <c r="F53" s="32" t="s">
        <v>123</v>
      </c>
      <c r="G53" s="9" t="s">
        <v>122</v>
      </c>
      <c r="H53" s="8">
        <v>46255</v>
      </c>
      <c r="I53" s="7">
        <v>6000</v>
      </c>
      <c r="J53" s="7">
        <v>6212</v>
      </c>
      <c r="K53" s="7">
        <v>0</v>
      </c>
      <c r="L53" s="6">
        <v>0</v>
      </c>
      <c r="M53" s="5">
        <f>K53/$B$8</f>
        <v>0</v>
      </c>
      <c r="N53" s="9"/>
    </row>
    <row r="54" spans="5:14" x14ac:dyDescent="0.3">
      <c r="E54" s="9">
        <v>33001</v>
      </c>
      <c r="F54" s="32" t="s">
        <v>298</v>
      </c>
      <c r="G54" s="9" t="s">
        <v>0</v>
      </c>
      <c r="H54" s="8">
        <v>46258</v>
      </c>
      <c r="I54" s="7">
        <v>2000</v>
      </c>
      <c r="J54" s="7">
        <v>2000</v>
      </c>
      <c r="K54" s="7">
        <v>0</v>
      </c>
      <c r="L54" s="6">
        <v>0</v>
      </c>
      <c r="M54" s="5">
        <f>K54/$B$8</f>
        <v>0</v>
      </c>
      <c r="N54" s="9"/>
    </row>
    <row r="55" spans="5:14" x14ac:dyDescent="0.3">
      <c r="E55" s="9">
        <v>33002</v>
      </c>
      <c r="F55" s="32" t="s">
        <v>121</v>
      </c>
      <c r="G55" s="9" t="s">
        <v>0</v>
      </c>
      <c r="H55" s="8">
        <v>46255</v>
      </c>
      <c r="I55" s="7">
        <v>2000</v>
      </c>
      <c r="J55" s="7">
        <v>2000</v>
      </c>
      <c r="K55" s="7">
        <v>0</v>
      </c>
      <c r="L55" s="6">
        <v>0</v>
      </c>
      <c r="M55" s="5">
        <f>K55/$B$8</f>
        <v>0</v>
      </c>
      <c r="N55" s="9"/>
    </row>
    <row r="56" spans="5:14" x14ac:dyDescent="0.3">
      <c r="E56" s="9">
        <v>33010</v>
      </c>
      <c r="F56" s="32" t="s">
        <v>297</v>
      </c>
      <c r="G56" s="9" t="s">
        <v>12</v>
      </c>
      <c r="H56" s="8">
        <v>46258</v>
      </c>
      <c r="I56" s="7">
        <v>6000</v>
      </c>
      <c r="J56" s="7">
        <v>6030</v>
      </c>
      <c r="K56" s="7">
        <v>0</v>
      </c>
      <c r="L56" s="6">
        <v>0</v>
      </c>
      <c r="M56" s="5">
        <f>K56/$B$8</f>
        <v>0</v>
      </c>
      <c r="N56" s="9"/>
    </row>
    <row r="57" spans="5:14" x14ac:dyDescent="0.3">
      <c r="E57" s="9">
        <v>33011</v>
      </c>
      <c r="F57" s="32" t="s">
        <v>18</v>
      </c>
      <c r="G57" s="9" t="s">
        <v>12</v>
      </c>
      <c r="H57" s="8">
        <v>46258</v>
      </c>
      <c r="I57" s="7">
        <v>7000</v>
      </c>
      <c r="J57" s="7">
        <v>7190</v>
      </c>
      <c r="K57" s="7">
        <v>0</v>
      </c>
      <c r="L57" s="6">
        <v>0</v>
      </c>
      <c r="M57" s="5">
        <f>K57/$B$8</f>
        <v>0</v>
      </c>
      <c r="N57" s="9"/>
    </row>
    <row r="58" spans="5:14" x14ac:dyDescent="0.3">
      <c r="E58" s="9">
        <v>33013</v>
      </c>
      <c r="F58" s="32" t="s">
        <v>120</v>
      </c>
      <c r="G58" s="9" t="s">
        <v>9</v>
      </c>
      <c r="H58" s="8">
        <v>46255</v>
      </c>
      <c r="I58" s="7">
        <v>1800</v>
      </c>
      <c r="J58" s="7">
        <v>1850</v>
      </c>
      <c r="K58" s="7">
        <v>0</v>
      </c>
      <c r="L58" s="6">
        <v>0</v>
      </c>
      <c r="M58" s="5">
        <f>K58/$B$8</f>
        <v>0</v>
      </c>
      <c r="N58" s="9"/>
    </row>
    <row r="59" spans="5:14" x14ac:dyDescent="0.3">
      <c r="E59" s="9">
        <v>33031</v>
      </c>
      <c r="F59" s="32" t="s">
        <v>128</v>
      </c>
      <c r="G59" s="9" t="s">
        <v>2</v>
      </c>
      <c r="H59" s="8">
        <v>46261</v>
      </c>
      <c r="I59" s="7">
        <v>1400</v>
      </c>
      <c r="J59" s="7">
        <v>1450</v>
      </c>
      <c r="K59" s="7">
        <v>0</v>
      </c>
      <c r="L59" s="6">
        <v>0</v>
      </c>
      <c r="M59" s="5">
        <f>K59/$B$8</f>
        <v>0</v>
      </c>
      <c r="N59" s="9"/>
    </row>
    <row r="60" spans="5:14" x14ac:dyDescent="0.3">
      <c r="E60" s="9">
        <v>33032</v>
      </c>
      <c r="F60" s="32" t="s">
        <v>296</v>
      </c>
      <c r="G60" s="9" t="s">
        <v>295</v>
      </c>
      <c r="H60" s="8">
        <v>46261</v>
      </c>
      <c r="I60" s="7">
        <v>10000</v>
      </c>
      <c r="J60" s="7">
        <v>10000</v>
      </c>
      <c r="K60" s="7">
        <v>0</v>
      </c>
      <c r="L60" s="6">
        <v>0</v>
      </c>
      <c r="M60" s="5">
        <f>K60/$B$8</f>
        <v>0</v>
      </c>
      <c r="N60" s="9"/>
    </row>
    <row r="61" spans="5:14" x14ac:dyDescent="0.3">
      <c r="E61" s="9">
        <v>33033</v>
      </c>
      <c r="F61" s="32" t="s">
        <v>296</v>
      </c>
      <c r="G61" s="9" t="s">
        <v>295</v>
      </c>
      <c r="H61" s="8">
        <v>46261</v>
      </c>
      <c r="I61" s="7">
        <v>10000</v>
      </c>
      <c r="J61" s="7">
        <v>10020</v>
      </c>
      <c r="K61" s="7">
        <v>0</v>
      </c>
      <c r="L61" s="6">
        <v>0</v>
      </c>
      <c r="M61" s="5">
        <f>K61/$B$8</f>
        <v>0</v>
      </c>
      <c r="N61" s="9"/>
    </row>
    <row r="62" spans="5:14" x14ac:dyDescent="0.3">
      <c r="E62" s="9">
        <v>33034</v>
      </c>
      <c r="F62" s="32" t="s">
        <v>296</v>
      </c>
      <c r="G62" s="9" t="s">
        <v>295</v>
      </c>
      <c r="H62" s="8">
        <v>46261</v>
      </c>
      <c r="I62" s="7">
        <v>10000</v>
      </c>
      <c r="J62" s="7">
        <v>10000</v>
      </c>
      <c r="K62" s="7">
        <v>0</v>
      </c>
      <c r="L62" s="6">
        <v>0</v>
      </c>
      <c r="M62" s="5">
        <f>K62/$B$8</f>
        <v>0</v>
      </c>
      <c r="N62" s="9"/>
    </row>
    <row r="63" spans="5:14" x14ac:dyDescent="0.3">
      <c r="E63" s="9">
        <v>33036</v>
      </c>
      <c r="F63" s="32" t="s">
        <v>294</v>
      </c>
      <c r="G63" s="9" t="s">
        <v>24</v>
      </c>
      <c r="H63" s="8">
        <v>46261</v>
      </c>
      <c r="I63" s="7">
        <v>30000</v>
      </c>
      <c r="J63" s="7">
        <v>30000</v>
      </c>
      <c r="K63" s="7">
        <v>0</v>
      </c>
      <c r="L63" s="6">
        <v>0</v>
      </c>
      <c r="M63" s="5">
        <f>K63/$B$8</f>
        <v>0</v>
      </c>
      <c r="N63" s="9"/>
    </row>
    <row r="64" spans="5:14" x14ac:dyDescent="0.3">
      <c r="E64" s="9">
        <v>33040</v>
      </c>
      <c r="F64" s="32" t="s">
        <v>3</v>
      </c>
      <c r="G64" s="9" t="s">
        <v>2</v>
      </c>
      <c r="H64" s="8">
        <v>46261</v>
      </c>
      <c r="I64" s="7">
        <v>1200</v>
      </c>
      <c r="J64" s="7">
        <v>1200</v>
      </c>
      <c r="K64" s="7">
        <v>0</v>
      </c>
      <c r="L64" s="6">
        <v>0</v>
      </c>
      <c r="M64" s="5">
        <f>K64/$B$8</f>
        <v>0</v>
      </c>
      <c r="N64" s="9"/>
    </row>
    <row r="65" spans="5:14" x14ac:dyDescent="0.3">
      <c r="E65" s="9">
        <v>33052</v>
      </c>
      <c r="F65" s="32" t="s">
        <v>293</v>
      </c>
      <c r="G65" s="9" t="s">
        <v>292</v>
      </c>
      <c r="H65" s="8">
        <v>46262</v>
      </c>
      <c r="I65" s="7">
        <v>8000</v>
      </c>
      <c r="J65" s="7">
        <v>8210</v>
      </c>
      <c r="K65" s="7">
        <v>0</v>
      </c>
      <c r="L65" s="6">
        <v>0</v>
      </c>
      <c r="M65" s="5">
        <f>K65/$B$8</f>
        <v>0</v>
      </c>
      <c r="N65" s="54"/>
    </row>
    <row r="66" spans="5:14" x14ac:dyDescent="0.3">
      <c r="H66" s="4"/>
      <c r="L66" s="3"/>
      <c r="M66" s="2"/>
    </row>
    <row r="67" spans="5:14" x14ac:dyDescent="0.3">
      <c r="H67" s="4"/>
      <c r="L67" s="3"/>
      <c r="M67" s="2"/>
    </row>
    <row r="68" spans="5:14" x14ac:dyDescent="0.3">
      <c r="H68" s="4"/>
      <c r="L68" s="3"/>
      <c r="M68" s="2"/>
    </row>
    <row r="69" spans="5:14" x14ac:dyDescent="0.3">
      <c r="H69" s="4"/>
      <c r="L69" s="3"/>
      <c r="M69" s="2"/>
    </row>
    <row r="70" spans="5:14" x14ac:dyDescent="0.3">
      <c r="H70" s="4"/>
      <c r="L70" s="3"/>
      <c r="M70" s="2"/>
    </row>
    <row r="71" spans="5:14" x14ac:dyDescent="0.3">
      <c r="H71" s="4"/>
      <c r="L71" s="3"/>
      <c r="M71" s="2"/>
    </row>
    <row r="72" spans="5:14" x14ac:dyDescent="0.3">
      <c r="H72" s="4"/>
      <c r="L72" s="3"/>
      <c r="M72" s="2"/>
    </row>
    <row r="73" spans="5:14" x14ac:dyDescent="0.3">
      <c r="H73" s="4"/>
      <c r="L73" s="3"/>
      <c r="M73" s="2"/>
    </row>
    <row r="74" spans="5:14" x14ac:dyDescent="0.3">
      <c r="H74" s="4"/>
      <c r="L74" s="3"/>
      <c r="M74" s="2"/>
    </row>
    <row r="75" spans="5:14" x14ac:dyDescent="0.3">
      <c r="H75" s="4"/>
      <c r="L75" s="3"/>
      <c r="M75" s="2"/>
    </row>
    <row r="76" spans="5:14" x14ac:dyDescent="0.3">
      <c r="H76" s="4"/>
      <c r="L76" s="3"/>
      <c r="M76" s="2"/>
    </row>
    <row r="77" spans="5:14" x14ac:dyDescent="0.3">
      <c r="H77" s="4"/>
      <c r="L77" s="3"/>
      <c r="M77" s="2"/>
    </row>
    <row r="78" spans="5:14" x14ac:dyDescent="0.3">
      <c r="H78" s="4"/>
      <c r="L78" s="3"/>
      <c r="M78" s="2"/>
    </row>
    <row r="79" spans="5:14" x14ac:dyDescent="0.3">
      <c r="H79" s="4"/>
      <c r="L79" s="3"/>
      <c r="M79" s="2"/>
    </row>
    <row r="80" spans="5:14" x14ac:dyDescent="0.3">
      <c r="H80" s="4"/>
      <c r="L80" s="3"/>
      <c r="M80" s="2"/>
    </row>
    <row r="81" spans="8:13" x14ac:dyDescent="0.3">
      <c r="H81" s="4"/>
      <c r="L81" s="3"/>
      <c r="M81" s="2"/>
    </row>
    <row r="82" spans="8:13" x14ac:dyDescent="0.3">
      <c r="H82" s="4"/>
      <c r="L82" s="3"/>
      <c r="M82" s="2"/>
    </row>
    <row r="83" spans="8:13" x14ac:dyDescent="0.3">
      <c r="H83" s="4"/>
      <c r="L83" s="3"/>
      <c r="M83" s="2"/>
    </row>
    <row r="84" spans="8:13" x14ac:dyDescent="0.3">
      <c r="H84" s="4"/>
      <c r="L84" s="3"/>
      <c r="M84" s="2"/>
    </row>
    <row r="85" spans="8:13" x14ac:dyDescent="0.3">
      <c r="H85" s="4"/>
      <c r="L85" s="3"/>
      <c r="M85" s="2"/>
    </row>
    <row r="86" spans="8:13" x14ac:dyDescent="0.3">
      <c r="H86" s="4"/>
      <c r="L86" s="3"/>
      <c r="M86" s="2"/>
    </row>
    <row r="87" spans="8:13" x14ac:dyDescent="0.3">
      <c r="H87" s="4"/>
      <c r="L87" s="3"/>
      <c r="M87" s="2"/>
    </row>
    <row r="88" spans="8:13" x14ac:dyDescent="0.3">
      <c r="H88" s="4"/>
      <c r="L88" s="3"/>
      <c r="M88" s="2"/>
    </row>
    <row r="89" spans="8:13" x14ac:dyDescent="0.3">
      <c r="H89" s="4"/>
      <c r="L89" s="3"/>
      <c r="M89" s="2"/>
    </row>
    <row r="90" spans="8:13" x14ac:dyDescent="0.3">
      <c r="H90" s="4"/>
      <c r="L90" s="3"/>
      <c r="M90" s="2"/>
    </row>
    <row r="91" spans="8:13" x14ac:dyDescent="0.3">
      <c r="H91" s="4"/>
      <c r="L91" s="3"/>
      <c r="M91" s="2"/>
    </row>
    <row r="92" spans="8:13" x14ac:dyDescent="0.3">
      <c r="H92" s="4"/>
      <c r="L92" s="3"/>
      <c r="M92" s="2"/>
    </row>
    <row r="93" spans="8:13" x14ac:dyDescent="0.3">
      <c r="H93" s="4"/>
      <c r="L93" s="3"/>
      <c r="M93" s="2"/>
    </row>
    <row r="94" spans="8:13" x14ac:dyDescent="0.3">
      <c r="H94" s="4"/>
      <c r="L94" s="3"/>
      <c r="M94" s="2"/>
    </row>
    <row r="95" spans="8:13" x14ac:dyDescent="0.3">
      <c r="H95" s="4"/>
      <c r="L95" s="3"/>
      <c r="M95" s="2"/>
    </row>
    <row r="96" spans="8:13" x14ac:dyDescent="0.3">
      <c r="H96" s="4"/>
      <c r="L96" s="3"/>
      <c r="M96" s="2"/>
    </row>
    <row r="97" spans="8:13" x14ac:dyDescent="0.3">
      <c r="H97" s="4"/>
      <c r="L97" s="3"/>
      <c r="M97" s="2"/>
    </row>
    <row r="98" spans="8:13" x14ac:dyDescent="0.3">
      <c r="H98" s="4"/>
      <c r="L98" s="3"/>
      <c r="M98" s="2"/>
    </row>
    <row r="99" spans="8:13" x14ac:dyDescent="0.3">
      <c r="H99" s="4"/>
      <c r="L99" s="3"/>
      <c r="M99" s="2"/>
    </row>
    <row r="100" spans="8:13" x14ac:dyDescent="0.3">
      <c r="H100" s="4"/>
      <c r="L100" s="3"/>
      <c r="M100" s="2"/>
    </row>
    <row r="101" spans="8:13" x14ac:dyDescent="0.3">
      <c r="H101" s="4"/>
      <c r="L101" s="3"/>
      <c r="M101" s="2"/>
    </row>
    <row r="102" spans="8:13" x14ac:dyDescent="0.3">
      <c r="H102" s="4"/>
      <c r="L102" s="3"/>
      <c r="M102" s="2"/>
    </row>
    <row r="103" spans="8:13" x14ac:dyDescent="0.3">
      <c r="H103" s="4"/>
      <c r="L103" s="3"/>
      <c r="M103" s="2"/>
    </row>
    <row r="104" spans="8:13" x14ac:dyDescent="0.3">
      <c r="H104" s="4"/>
      <c r="L104" s="3"/>
      <c r="M104" s="2"/>
    </row>
    <row r="105" spans="8:13" x14ac:dyDescent="0.3">
      <c r="H105" s="4"/>
      <c r="L105" s="3"/>
      <c r="M105" s="2"/>
    </row>
    <row r="106" spans="8:13" x14ac:dyDescent="0.3">
      <c r="H106" s="4"/>
      <c r="L106" s="3"/>
      <c r="M106" s="2"/>
    </row>
    <row r="107" spans="8:13" x14ac:dyDescent="0.3">
      <c r="H107" s="4"/>
      <c r="L107" s="3"/>
      <c r="M107" s="2"/>
    </row>
    <row r="108" spans="8:13" x14ac:dyDescent="0.3">
      <c r="H108" s="4"/>
      <c r="L108" s="3"/>
      <c r="M108" s="2"/>
    </row>
    <row r="109" spans="8:13" x14ac:dyDescent="0.3">
      <c r="H109" s="4"/>
      <c r="L109" s="3"/>
      <c r="M109" s="2"/>
    </row>
    <row r="110" spans="8:13" x14ac:dyDescent="0.3">
      <c r="H110" s="4"/>
      <c r="L110" s="3"/>
      <c r="M110" s="2"/>
    </row>
    <row r="111" spans="8:13" x14ac:dyDescent="0.3">
      <c r="H111" s="4"/>
      <c r="L111" s="3"/>
      <c r="M111" s="2"/>
    </row>
    <row r="112" spans="8:13" x14ac:dyDescent="0.3">
      <c r="H112" s="4"/>
      <c r="L112" s="3"/>
      <c r="M112" s="2"/>
    </row>
    <row r="113" spans="8:13" x14ac:dyDescent="0.3">
      <c r="H113" s="4"/>
      <c r="L113" s="3"/>
      <c r="M113" s="2"/>
    </row>
    <row r="114" spans="8:13" x14ac:dyDescent="0.3">
      <c r="H114" s="4"/>
      <c r="L114" s="3"/>
      <c r="M114" s="2"/>
    </row>
    <row r="115" spans="8:13" x14ac:dyDescent="0.3">
      <c r="H115" s="4"/>
      <c r="L115" s="3"/>
      <c r="M115" s="2"/>
    </row>
    <row r="116" spans="8:13" x14ac:dyDescent="0.3">
      <c r="H116" s="4"/>
      <c r="L116" s="3"/>
      <c r="M116" s="2"/>
    </row>
    <row r="117" spans="8:13" x14ac:dyDescent="0.3">
      <c r="H117" s="4"/>
      <c r="L117" s="3"/>
      <c r="M117" s="2"/>
    </row>
    <row r="118" spans="8:13" x14ac:dyDescent="0.3">
      <c r="H118" s="4"/>
      <c r="L118" s="3"/>
      <c r="M118" s="2"/>
    </row>
    <row r="119" spans="8:13" x14ac:dyDescent="0.3">
      <c r="H119" s="4"/>
      <c r="L119" s="3"/>
      <c r="M119" s="2"/>
    </row>
    <row r="120" spans="8:13" x14ac:dyDescent="0.3">
      <c r="H120" s="4"/>
      <c r="L120" s="3"/>
      <c r="M120" s="2"/>
    </row>
    <row r="121" spans="8:13" x14ac:dyDescent="0.3">
      <c r="H121" s="4"/>
      <c r="L121" s="3"/>
      <c r="M121" s="2"/>
    </row>
    <row r="122" spans="8:13" x14ac:dyDescent="0.3">
      <c r="H122" s="4"/>
      <c r="L122" s="3"/>
      <c r="M122" s="2"/>
    </row>
    <row r="123" spans="8:13" x14ac:dyDescent="0.3">
      <c r="H123" s="4"/>
      <c r="L123" s="3"/>
      <c r="M123" s="2"/>
    </row>
    <row r="124" spans="8:13" x14ac:dyDescent="0.3">
      <c r="H124" s="4"/>
      <c r="L124" s="3"/>
      <c r="M124" s="2"/>
    </row>
    <row r="125" spans="8:13" x14ac:dyDescent="0.3">
      <c r="H125" s="4"/>
      <c r="L125" s="3"/>
      <c r="M125" s="2"/>
    </row>
    <row r="126" spans="8:13" x14ac:dyDescent="0.3">
      <c r="H126" s="4"/>
      <c r="L126" s="3"/>
      <c r="M126" s="2"/>
    </row>
    <row r="127" spans="8:13" x14ac:dyDescent="0.3">
      <c r="H127" s="4"/>
      <c r="L127" s="3"/>
      <c r="M127" s="2"/>
    </row>
    <row r="128" spans="8:13" x14ac:dyDescent="0.3">
      <c r="H128" s="4"/>
      <c r="L128" s="3"/>
      <c r="M128" s="2"/>
    </row>
    <row r="129" spans="8:13" x14ac:dyDescent="0.3">
      <c r="H129" s="4"/>
      <c r="L129" s="3"/>
      <c r="M129" s="2"/>
    </row>
  </sheetData>
  <autoFilter ref="E1:N1" xr:uid="{ED0A2852-B90F-4E5C-9DCF-FC384D5546E0}"/>
  <mergeCells count="1">
    <mergeCell ref="A1:B1"/>
  </mergeCells>
  <conditionalFormatting sqref="D2:D6">
    <cfRule type="duplicateValues" dxfId="3" priority="3"/>
  </conditionalFormatting>
  <conditionalFormatting sqref="D7">
    <cfRule type="duplicateValues" dxfId="2" priority="2"/>
  </conditionalFormatting>
  <conditionalFormatting sqref="D8">
    <cfRule type="duplicateValues" dxfId="1" priority="1"/>
  </conditionalFormatting>
  <conditionalFormatting sqref="E2:E1048576">
    <cfRule type="duplicateValues" dxfId="0" priority="4"/>
  </conditionalFormatting>
  <pageMargins left="0.7" right="0.7" top="0.75" bottom="0.75" header="0.3" footer="0.3"/>
  <pageSetup paperSize="9" scale="42" fitToHeight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A920B-DABA-41C0-8EAE-B3072878E1B3}">
  <sheetPr>
    <tabColor theme="1"/>
  </sheetPr>
  <dimension ref="A1:AI40"/>
  <sheetViews>
    <sheetView topLeftCell="A4" zoomScaleNormal="100" workbookViewId="0">
      <selection activeCell="B21" sqref="B21:B23"/>
    </sheetView>
  </sheetViews>
  <sheetFormatPr baseColWidth="10" defaultRowHeight="14.4" x14ac:dyDescent="0.3"/>
  <cols>
    <col min="1" max="1" width="7.21875" bestFit="1" customWidth="1"/>
    <col min="2" max="2" width="84" bestFit="1" customWidth="1"/>
    <col min="3" max="3" width="58.33203125" bestFit="1" customWidth="1"/>
    <col min="4" max="4" width="26.88671875" style="31" bestFit="1" customWidth="1"/>
    <col min="5" max="5" width="7.88671875" bestFit="1" customWidth="1"/>
    <col min="6" max="6" width="33" bestFit="1" customWidth="1"/>
    <col min="7" max="7" width="10.44140625" style="31" bestFit="1" customWidth="1"/>
    <col min="8" max="8" width="11.21875" bestFit="1" customWidth="1"/>
  </cols>
  <sheetData>
    <row r="1" spans="1:8" x14ac:dyDescent="0.3">
      <c r="A1" s="42" t="s">
        <v>118</v>
      </c>
      <c r="B1" s="42" t="s">
        <v>264</v>
      </c>
      <c r="C1" s="42" t="s">
        <v>263</v>
      </c>
      <c r="D1" s="43" t="s">
        <v>262</v>
      </c>
      <c r="E1" s="42" t="s">
        <v>261</v>
      </c>
      <c r="F1" s="42" t="s">
        <v>260</v>
      </c>
      <c r="G1" s="41" t="s">
        <v>259</v>
      </c>
      <c r="H1" s="41" t="s">
        <v>258</v>
      </c>
    </row>
    <row r="2" spans="1:8" x14ac:dyDescent="0.3">
      <c r="A2" s="45">
        <v>32692</v>
      </c>
      <c r="B2" s="45" t="s">
        <v>173</v>
      </c>
      <c r="C2" s="9" t="s">
        <v>291</v>
      </c>
      <c r="D2" s="20">
        <v>335</v>
      </c>
      <c r="E2" s="14">
        <f>D2/$G$2</f>
        <v>9.3060725595866436E-2</v>
      </c>
      <c r="F2" s="9" t="s">
        <v>247</v>
      </c>
      <c r="G2" s="46">
        <f>SUM(D2:D6)</f>
        <v>3599.8</v>
      </c>
      <c r="H2" s="45" t="s">
        <v>249</v>
      </c>
    </row>
    <row r="3" spans="1:8" x14ac:dyDescent="0.3">
      <c r="A3" s="45"/>
      <c r="B3" s="45"/>
      <c r="C3" s="9" t="s">
        <v>290</v>
      </c>
      <c r="D3" s="20">
        <v>203</v>
      </c>
      <c r="E3" s="14">
        <f>D3/$G$2</f>
        <v>5.6392021778987722E-2</v>
      </c>
      <c r="F3" s="9" t="s">
        <v>243</v>
      </c>
      <c r="G3" s="46"/>
      <c r="H3" s="45"/>
    </row>
    <row r="4" spans="1:8" ht="16.2" customHeight="1" x14ac:dyDescent="0.3">
      <c r="A4" s="45"/>
      <c r="B4" s="45"/>
      <c r="C4" s="9" t="s">
        <v>289</v>
      </c>
      <c r="D4" s="20">
        <v>304.5</v>
      </c>
      <c r="E4" s="14">
        <f>D4/$G$2</f>
        <v>8.4588032668481583E-2</v>
      </c>
      <c r="F4" s="9" t="s">
        <v>283</v>
      </c>
      <c r="G4" s="46"/>
      <c r="H4" s="45"/>
    </row>
    <row r="5" spans="1:8" ht="16.2" customHeight="1" x14ac:dyDescent="0.3">
      <c r="A5" s="45"/>
      <c r="B5" s="45"/>
      <c r="C5" s="9" t="s">
        <v>288</v>
      </c>
      <c r="D5" s="20">
        <v>2402</v>
      </c>
      <c r="E5" s="14">
        <f>D5/$G$2</f>
        <v>0.66725929218289903</v>
      </c>
      <c r="F5" s="9" t="s">
        <v>250</v>
      </c>
      <c r="G5" s="46"/>
      <c r="H5" s="45"/>
    </row>
    <row r="6" spans="1:8" ht="16.2" customHeight="1" x14ac:dyDescent="0.3">
      <c r="A6" s="45"/>
      <c r="B6" s="45"/>
      <c r="C6" s="9" t="s">
        <v>287</v>
      </c>
      <c r="D6" s="20">
        <v>355.3</v>
      </c>
      <c r="E6" s="14">
        <f>D6/$G$2</f>
        <v>9.8699927773765211E-2</v>
      </c>
      <c r="F6" s="9" t="s">
        <v>247</v>
      </c>
      <c r="G6" s="46"/>
      <c r="H6" s="45"/>
    </row>
    <row r="7" spans="1:8" x14ac:dyDescent="0.3">
      <c r="A7" s="34"/>
      <c r="B7" s="34"/>
      <c r="D7" s="28"/>
      <c r="E7" s="28"/>
      <c r="G7" s="40"/>
      <c r="H7" s="39"/>
    </row>
    <row r="8" spans="1:8" x14ac:dyDescent="0.3">
      <c r="A8" s="45">
        <v>32837</v>
      </c>
      <c r="B8" s="45" t="s">
        <v>177</v>
      </c>
      <c r="C8" s="9" t="s">
        <v>257</v>
      </c>
      <c r="D8" s="20">
        <v>547.1</v>
      </c>
      <c r="E8" s="14">
        <f>D8/$G$8</f>
        <v>0.21455743362484803</v>
      </c>
      <c r="F8" s="9" t="s">
        <v>243</v>
      </c>
      <c r="G8" s="46">
        <f>SUM(D8:D11)</f>
        <v>2549.9</v>
      </c>
      <c r="H8" s="45" t="s">
        <v>249</v>
      </c>
    </row>
    <row r="9" spans="1:8" x14ac:dyDescent="0.3">
      <c r="A9" s="45"/>
      <c r="B9" s="45"/>
      <c r="C9" s="9" t="s">
        <v>256</v>
      </c>
      <c r="D9" s="20">
        <v>633.9</v>
      </c>
      <c r="E9" s="14">
        <f>D9/$G$8</f>
        <v>0.24859798423467586</v>
      </c>
      <c r="F9" s="9" t="s">
        <v>252</v>
      </c>
      <c r="G9" s="46"/>
      <c r="H9" s="45"/>
    </row>
    <row r="10" spans="1:8" x14ac:dyDescent="0.3">
      <c r="A10" s="45"/>
      <c r="B10" s="45"/>
      <c r="C10" s="9" t="s">
        <v>255</v>
      </c>
      <c r="D10" s="20">
        <v>67.900000000000006</v>
      </c>
      <c r="E10" s="14">
        <f>D10/$G$8</f>
        <v>2.6628495235107262E-2</v>
      </c>
      <c r="F10" s="9" t="s">
        <v>247</v>
      </c>
      <c r="G10" s="46"/>
      <c r="H10" s="45"/>
    </row>
    <row r="11" spans="1:8" x14ac:dyDescent="0.3">
      <c r="A11" s="45"/>
      <c r="B11" s="45"/>
      <c r="C11" s="9" t="s">
        <v>254</v>
      </c>
      <c r="D11" s="20">
        <v>1301</v>
      </c>
      <c r="E11" s="14">
        <f>D11/$G$8</f>
        <v>0.51021608690536879</v>
      </c>
      <c r="F11" s="9" t="s">
        <v>253</v>
      </c>
      <c r="G11" s="46"/>
      <c r="H11" s="45"/>
    </row>
    <row r="12" spans="1:8" x14ac:dyDescent="0.3">
      <c r="A12" s="34"/>
      <c r="B12" s="34"/>
      <c r="D12" s="28"/>
      <c r="E12" s="53"/>
      <c r="G12" s="36"/>
      <c r="H12" s="34"/>
    </row>
    <row r="13" spans="1:8" x14ac:dyDescent="0.3">
      <c r="A13" s="34"/>
      <c r="B13" s="34"/>
      <c r="D13" s="28"/>
      <c r="E13" s="28"/>
      <c r="G13" s="38"/>
      <c r="H13" s="34"/>
    </row>
    <row r="14" spans="1:8" x14ac:dyDescent="0.3">
      <c r="A14" s="52">
        <v>33044</v>
      </c>
      <c r="B14" s="45" t="s">
        <v>15</v>
      </c>
      <c r="C14" s="9" t="s">
        <v>286</v>
      </c>
      <c r="D14" s="20">
        <v>1078</v>
      </c>
      <c r="E14" s="14">
        <f>D14/$G$14</f>
        <v>0.42191780821917807</v>
      </c>
      <c r="F14" s="9" t="s">
        <v>245</v>
      </c>
      <c r="G14" s="46">
        <f>SUM(D14:D19)</f>
        <v>2555</v>
      </c>
      <c r="H14" s="45" t="s">
        <v>244</v>
      </c>
    </row>
    <row r="15" spans="1:8" x14ac:dyDescent="0.3">
      <c r="A15" s="52"/>
      <c r="B15" s="45"/>
      <c r="C15" s="9" t="s">
        <v>285</v>
      </c>
      <c r="D15" s="20">
        <v>86</v>
      </c>
      <c r="E15" s="14">
        <f>D15/$G$14</f>
        <v>3.3659491193737769E-2</v>
      </c>
      <c r="F15" s="9" t="s">
        <v>243</v>
      </c>
      <c r="G15" s="46"/>
      <c r="H15" s="45"/>
    </row>
    <row r="16" spans="1:8" x14ac:dyDescent="0.3">
      <c r="A16" s="52"/>
      <c r="B16" s="45"/>
      <c r="C16" s="9" t="s">
        <v>284</v>
      </c>
      <c r="D16" s="20">
        <v>216</v>
      </c>
      <c r="E16" s="14">
        <f>D16/$G$14</f>
        <v>8.4540117416829749E-2</v>
      </c>
      <c r="F16" s="9" t="s">
        <v>283</v>
      </c>
      <c r="G16" s="46"/>
      <c r="H16" s="45"/>
    </row>
    <row r="17" spans="1:35" x14ac:dyDescent="0.3">
      <c r="A17" s="52"/>
      <c r="B17" s="45"/>
      <c r="C17" s="9" t="s">
        <v>282</v>
      </c>
      <c r="D17" s="20">
        <v>1035</v>
      </c>
      <c r="E17" s="14">
        <f>D17/$G$14</f>
        <v>0.40508806262230918</v>
      </c>
      <c r="F17" s="9" t="s">
        <v>242</v>
      </c>
      <c r="G17" s="46"/>
      <c r="H17" s="45"/>
    </row>
    <row r="18" spans="1:35" x14ac:dyDescent="0.3">
      <c r="A18" s="52"/>
      <c r="B18" s="45"/>
      <c r="C18" s="9" t="s">
        <v>281</v>
      </c>
      <c r="D18" s="20">
        <v>86</v>
      </c>
      <c r="E18" s="14">
        <f>D18/$G$14</f>
        <v>3.3659491193737769E-2</v>
      </c>
      <c r="F18" s="9" t="s">
        <v>241</v>
      </c>
      <c r="G18" s="46"/>
      <c r="H18" s="45"/>
    </row>
    <row r="19" spans="1:35" x14ac:dyDescent="0.3">
      <c r="A19" s="52"/>
      <c r="B19" s="45"/>
      <c r="C19" s="9" t="s">
        <v>280</v>
      </c>
      <c r="D19" s="20">
        <v>54</v>
      </c>
      <c r="E19" s="14">
        <f>D19/$G$14</f>
        <v>2.1135029354207437E-2</v>
      </c>
      <c r="F19" s="9" t="s">
        <v>247</v>
      </c>
      <c r="G19" s="46"/>
      <c r="H19" s="45"/>
    </row>
    <row r="20" spans="1:35" x14ac:dyDescent="0.3">
      <c r="G20" s="37"/>
      <c r="H20" s="34"/>
    </row>
    <row r="21" spans="1:35" x14ac:dyDescent="0.3">
      <c r="A21" s="45">
        <v>32821</v>
      </c>
      <c r="B21" s="45" t="s">
        <v>171</v>
      </c>
      <c r="C21" s="9" t="s">
        <v>251</v>
      </c>
      <c r="D21" s="20">
        <v>817</v>
      </c>
      <c r="E21" s="14">
        <f>D21/$G$21</f>
        <v>0.81716343268653735</v>
      </c>
      <c r="F21" s="9" t="s">
        <v>250</v>
      </c>
      <c r="G21" s="46">
        <f>SUM(D21:D23)</f>
        <v>999.8</v>
      </c>
      <c r="H21" s="45" t="s">
        <v>249</v>
      </c>
    </row>
    <row r="22" spans="1:35" x14ac:dyDescent="0.3">
      <c r="A22" s="45"/>
      <c r="B22" s="45"/>
      <c r="C22" s="9" t="s">
        <v>248</v>
      </c>
      <c r="D22" s="20">
        <v>122.5</v>
      </c>
      <c r="E22" s="14">
        <f>D22/$G$21</f>
        <v>0.1225245049009802</v>
      </c>
      <c r="F22" s="9" t="s">
        <v>247</v>
      </c>
      <c r="G22" s="46"/>
      <c r="H22" s="45"/>
    </row>
    <row r="23" spans="1:35" x14ac:dyDescent="0.3">
      <c r="A23" s="45"/>
      <c r="B23" s="45"/>
      <c r="C23" s="9" t="s">
        <v>246</v>
      </c>
      <c r="D23" s="20">
        <v>60.3</v>
      </c>
      <c r="E23" s="14">
        <f>D23/$G$21</f>
        <v>6.0312062412482499E-2</v>
      </c>
      <c r="F23" s="9" t="s">
        <v>241</v>
      </c>
      <c r="G23" s="46"/>
      <c r="H23" s="45"/>
    </row>
    <row r="24" spans="1:35" x14ac:dyDescent="0.3">
      <c r="D24" s="44"/>
    </row>
    <row r="25" spans="1:35" x14ac:dyDescent="0.3">
      <c r="A25" s="45">
        <v>32959</v>
      </c>
      <c r="B25" s="45" t="s">
        <v>279</v>
      </c>
      <c r="C25" s="9" t="s">
        <v>278</v>
      </c>
      <c r="D25" s="20">
        <v>426</v>
      </c>
      <c r="E25" s="14">
        <f>D25/$G$25</f>
        <v>0.44467640918580376</v>
      </c>
      <c r="F25" s="9" t="s">
        <v>243</v>
      </c>
      <c r="G25" s="46">
        <f>SUM(D25:D26)</f>
        <v>958</v>
      </c>
      <c r="H25" s="45" t="s">
        <v>249</v>
      </c>
    </row>
    <row r="26" spans="1:35" x14ac:dyDescent="0.3">
      <c r="A26" s="45"/>
      <c r="B26" s="45"/>
      <c r="C26" s="9" t="s">
        <v>277</v>
      </c>
      <c r="D26" s="20">
        <v>532</v>
      </c>
      <c r="E26" s="14">
        <f>D26/$G$25</f>
        <v>0.55532359081419624</v>
      </c>
      <c r="F26" s="9" t="s">
        <v>247</v>
      </c>
      <c r="G26" s="46"/>
      <c r="H26" s="45"/>
    </row>
    <row r="27" spans="1:35" s="33" customFormat="1" x14ac:dyDescent="0.3">
      <c r="A27" s="35"/>
      <c r="B27" s="34"/>
      <c r="C27" s="34"/>
      <c r="D27" s="36"/>
      <c r="E27" s="34"/>
      <c r="F27" s="34"/>
      <c r="G27" s="36"/>
      <c r="H27" s="34"/>
      <c r="I27" s="35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</row>
    <row r="28" spans="1:35" s="33" customFormat="1" x14ac:dyDescent="0.3">
      <c r="A28" s="45">
        <v>32477</v>
      </c>
      <c r="B28" s="45" t="s">
        <v>97</v>
      </c>
      <c r="C28" s="9" t="s">
        <v>276</v>
      </c>
      <c r="D28" s="20">
        <v>570</v>
      </c>
      <c r="E28" s="14">
        <f>D28/$G$28</f>
        <v>0.61621621621621625</v>
      </c>
      <c r="F28" s="9" t="s">
        <v>243</v>
      </c>
      <c r="G28" s="46">
        <f>SUM(D28:D31)</f>
        <v>925</v>
      </c>
      <c r="H28" s="45" t="s">
        <v>249</v>
      </c>
      <c r="I28" s="35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</row>
    <row r="29" spans="1:35" x14ac:dyDescent="0.3">
      <c r="A29" s="45"/>
      <c r="B29" s="45"/>
      <c r="C29" s="9" t="s">
        <v>275</v>
      </c>
      <c r="D29" s="20">
        <v>62</v>
      </c>
      <c r="E29" s="14">
        <f>D29/$G$28</f>
        <v>6.7027027027027022E-2</v>
      </c>
      <c r="F29" s="9" t="s">
        <v>252</v>
      </c>
      <c r="G29" s="46"/>
      <c r="H29" s="45"/>
    </row>
    <row r="30" spans="1:35" x14ac:dyDescent="0.3">
      <c r="A30" s="45"/>
      <c r="B30" s="45"/>
      <c r="C30" s="9" t="s">
        <v>274</v>
      </c>
      <c r="D30" s="20">
        <v>271</v>
      </c>
      <c r="E30" s="14">
        <f>D30/$G$28</f>
        <v>0.29297297297297298</v>
      </c>
      <c r="F30" s="9" t="s">
        <v>247</v>
      </c>
      <c r="G30" s="46"/>
      <c r="H30" s="45"/>
    </row>
    <row r="31" spans="1:35" x14ac:dyDescent="0.3">
      <c r="A31" s="45"/>
      <c r="B31" s="45"/>
      <c r="C31" s="9" t="s">
        <v>273</v>
      </c>
      <c r="D31" s="20">
        <v>22</v>
      </c>
      <c r="E31" s="14">
        <f>D31/$G$28</f>
        <v>2.3783783783783784E-2</v>
      </c>
      <c r="F31" s="9" t="s">
        <v>241</v>
      </c>
      <c r="G31" s="46"/>
      <c r="H31" s="45"/>
    </row>
    <row r="33" spans="1:8" x14ac:dyDescent="0.3">
      <c r="A33" s="45">
        <v>32470</v>
      </c>
      <c r="B33" s="45" t="s">
        <v>97</v>
      </c>
      <c r="C33" s="9" t="s">
        <v>272</v>
      </c>
      <c r="D33" s="20">
        <v>418</v>
      </c>
      <c r="E33" s="14">
        <f>D33/$G$33</f>
        <v>0.4777142857142857</v>
      </c>
      <c r="F33" s="9" t="s">
        <v>243</v>
      </c>
      <c r="G33" s="46">
        <f>SUM(D33:D37)</f>
        <v>875</v>
      </c>
      <c r="H33" s="45" t="s">
        <v>249</v>
      </c>
    </row>
    <row r="34" spans="1:8" x14ac:dyDescent="0.3">
      <c r="A34" s="45"/>
      <c r="B34" s="45"/>
      <c r="C34" s="9" t="s">
        <v>271</v>
      </c>
      <c r="D34" s="20">
        <v>40</v>
      </c>
      <c r="E34" s="14">
        <f>D34/$G$33</f>
        <v>4.5714285714285714E-2</v>
      </c>
      <c r="F34" s="9" t="s">
        <v>250</v>
      </c>
      <c r="G34" s="46"/>
      <c r="H34" s="45"/>
    </row>
    <row r="35" spans="1:8" x14ac:dyDescent="0.3">
      <c r="A35" s="45"/>
      <c r="B35" s="45"/>
      <c r="C35" s="9" t="s">
        <v>270</v>
      </c>
      <c r="D35" s="20">
        <v>366</v>
      </c>
      <c r="E35" s="14">
        <f>D35/$G$33</f>
        <v>0.41828571428571426</v>
      </c>
      <c r="F35" s="9" t="s">
        <v>247</v>
      </c>
      <c r="G35" s="46"/>
      <c r="H35" s="45"/>
    </row>
    <row r="36" spans="1:8" x14ac:dyDescent="0.3">
      <c r="A36" s="45"/>
      <c r="B36" s="45"/>
      <c r="C36" s="9" t="s">
        <v>269</v>
      </c>
      <c r="D36" s="20">
        <v>37</v>
      </c>
      <c r="E36" s="14">
        <f>D36/$G$33</f>
        <v>4.2285714285714288E-2</v>
      </c>
      <c r="F36" s="9" t="s">
        <v>241</v>
      </c>
      <c r="G36" s="46"/>
      <c r="H36" s="45"/>
    </row>
    <row r="37" spans="1:8" x14ac:dyDescent="0.3">
      <c r="A37" s="45"/>
      <c r="B37" s="45"/>
      <c r="C37" s="9" t="s">
        <v>268</v>
      </c>
      <c r="D37" s="20">
        <v>14</v>
      </c>
      <c r="E37" s="14">
        <f>D37/$G$33</f>
        <v>1.6E-2</v>
      </c>
      <c r="F37" s="9" t="s">
        <v>267</v>
      </c>
      <c r="G37" s="46"/>
      <c r="H37" s="45"/>
    </row>
    <row r="39" spans="1:8" x14ac:dyDescent="0.3">
      <c r="A39" s="47">
        <v>32985</v>
      </c>
      <c r="B39" s="47" t="s">
        <v>162</v>
      </c>
      <c r="C39" s="9" t="s">
        <v>266</v>
      </c>
      <c r="D39" s="20">
        <v>1020</v>
      </c>
      <c r="E39" s="14">
        <f>D39/$G$39</f>
        <v>0.89395267309377735</v>
      </c>
      <c r="F39" s="9" t="s">
        <v>243</v>
      </c>
      <c r="G39" s="49">
        <f>SUM(D39:D40)</f>
        <v>1141</v>
      </c>
      <c r="H39" s="47" t="s">
        <v>244</v>
      </c>
    </row>
    <row r="40" spans="1:8" x14ac:dyDescent="0.3">
      <c r="A40" s="48"/>
      <c r="B40" s="48"/>
      <c r="C40" s="9" t="s">
        <v>265</v>
      </c>
      <c r="D40" s="20">
        <v>121</v>
      </c>
      <c r="E40" s="14">
        <f>D40/$G$39</f>
        <v>0.10604732690622261</v>
      </c>
      <c r="F40" s="9" t="s">
        <v>241</v>
      </c>
      <c r="G40" s="50"/>
      <c r="H40" s="48"/>
    </row>
  </sheetData>
  <mergeCells count="32">
    <mergeCell ref="A2:A6"/>
    <mergeCell ref="B2:B6"/>
    <mergeCell ref="G2:G6"/>
    <mergeCell ref="H2:H6"/>
    <mergeCell ref="A8:A11"/>
    <mergeCell ref="B8:B11"/>
    <mergeCell ref="G8:G11"/>
    <mergeCell ref="H8:H11"/>
    <mergeCell ref="A14:A19"/>
    <mergeCell ref="B14:B19"/>
    <mergeCell ref="G14:G19"/>
    <mergeCell ref="H14:H19"/>
    <mergeCell ref="A21:A23"/>
    <mergeCell ref="B21:B23"/>
    <mergeCell ref="G21:G23"/>
    <mergeCell ref="H21:H23"/>
    <mergeCell ref="A25:A26"/>
    <mergeCell ref="B25:B26"/>
    <mergeCell ref="G25:G26"/>
    <mergeCell ref="H25:H26"/>
    <mergeCell ref="A28:A31"/>
    <mergeCell ref="B28:B31"/>
    <mergeCell ref="G28:G31"/>
    <mergeCell ref="H28:H31"/>
    <mergeCell ref="A33:A37"/>
    <mergeCell ref="B33:B37"/>
    <mergeCell ref="G33:G37"/>
    <mergeCell ref="H33:H37"/>
    <mergeCell ref="A39:A40"/>
    <mergeCell ref="B39:B40"/>
    <mergeCell ref="G39:G40"/>
    <mergeCell ref="H39:H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10-08</vt:lpstr>
      <vt:lpstr>17-08 </vt:lpstr>
      <vt:lpstr>24-08</vt:lpstr>
      <vt:lpstr>31-08</vt:lpstr>
      <vt:lpstr>DETALLE MERMAS 31-08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2026-08-27T15:30:41Z</dcterms:created>
  <dcterms:modified xsi:type="dcterms:W3CDTF">2026-08-31T16:13:03Z</dcterms:modified>
</cp:coreProperties>
</file>